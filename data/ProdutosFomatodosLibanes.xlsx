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<sst xmlns="http://schemas.openxmlformats.org/spreadsheetml/2006/main" count="3751" uniqueCount="1134">
  <si>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</si>
  <si>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</si>
  <si>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</si>
  <si>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</si>
  <si>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</si>
  <si>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</si>
  <si>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</si>
  <si>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</si>
  <si>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</si>
  <si>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</si>
  <si>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</si>
  <si>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</si>
  <si>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</si>
  <si>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</si>
  <si>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</si>
  <si>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</si>
  <si>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</si>
  <si>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</si>
  <si>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</si>
  <si>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</si>
  <si>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</si>
  <si>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</si>
  <si>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</si>
  <si>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</si>
  <si>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</si>
  <si>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</si>
  <si>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</si>
  <si>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</si>
  <si>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</si>
  <si>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</si>
  <si>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</si>
  <si>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</si>
  <si>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</si>
  <si>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</si>
  <si>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</si>
  <si>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</si>
  <si>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</si>
  <si>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</si>
  <si>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</si>
  <si>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</si>
  <si>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</si>
  <si>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</si>
  <si>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</si>
  <si>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</si>
  <si>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</si>
  <si>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</si>
  <si>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</si>
  <si>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</si>
  <si>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</si>
  <si>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</si>
  <si>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</si>
  <si>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</si>
  <si>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</si>
  <si>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</si>
  <si>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</si>
  <si>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</si>
  <si>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</si>
  <si>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</si>
  <si>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</si>
  <si>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</si>
  <si>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</si>
  <si>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</si>
  <si>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</si>
  <si>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</si>
  <si>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</si>
  <si>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</si>
  <si>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</si>
  <si>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</si>
  <si>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</si>
  <si>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</si>
  <si>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</si>
  <si>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</si>
  <si>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</si>
  <si>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</si>
  <si>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</si>
  <si>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</si>
  <si>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</si>
  <si>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</si>
  <si>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</si>
  <si>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</si>
  <si>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</si>
  <si>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</si>
  <si>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</si>
  <si>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</si>
  <si>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</si>
  <si>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</si>
  <si>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</si>
  <si>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</si>
  <si>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</si>
  <si>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</si>
  <si>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</si>
  <si>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</si>
  <si>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</si>
  <si>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</si>
  <si>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</si>
  <si>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</si>
  <si>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</si>
  <si>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</si>
  <si>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</si>
  <si>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</si>
  <si>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</si>
  <si>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</si>
  <si>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</si>
  <si>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</si>
  <si>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</si>
  <si>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</si>
  <si>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</si>
  <si>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</si>
  <si>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</si>
  <si>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</si>
  <si>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</si>
  <si>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</si>
  <si>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</si>
  <si>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</si>
  <si>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</si>
  <si>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</si>
  <si>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</si>
  <si>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</si>
  <si>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</si>
  <si>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</si>
  <si>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</si>
  <si>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</si>
  <si>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</si>
  <si>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</si>
  <si>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</si>
  <si>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</si>
  <si>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</si>
  <si>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</si>
  <si>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</si>
  <si>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</si>
  <si>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</si>
  <si>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</si>
  <si>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</si>
  <si>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</si>
  <si>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</si>
  <si>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</si>
  <si>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</si>
  <si>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</si>
  <si>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</si>
  <si>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</si>
  <si>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</si>
  <si>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</si>
  <si>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</si>
  <si>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</si>
  <si>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</si>
  <si>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</si>
  <si>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</si>
  <si>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</si>
  <si>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</si>
  <si>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</si>
  <si>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</si>
  <si>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</si>
  <si>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</si>
  <si>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</si>
  <si>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</si>
  <si>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</si>
  <si>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</si>
  <si>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</si>
  <si>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</si>
  <si>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</si>
  <si>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</si>
  <si>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</si>
  <si>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</si>
  <si>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</si>
  <si>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</si>
  <si>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</si>
  <si>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</si>
  <si>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</si>
  <si>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</si>
  <si>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</si>
  <si>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</si>
  <si>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</si>
  <si>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</si>
  <si>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</si>
  <si>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</si>
  <si>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</si>
  <si>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</si>
  <si>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</si>
  <si>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</si>
  <si>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</si>
  <si>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</si>
  <si>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</si>
  <si>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</si>
  <si>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</si>
  <si>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</si>
  <si>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</si>
  <si>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</si>
  <si>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</si>
  <si>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</si>
  <si>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</si>
  <si>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</si>
  <si>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</si>
  <si>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</si>
  <si>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</si>
  <si>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</si>
  <si>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</si>
  <si>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</si>
  <si>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</si>
  <si>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</si>
  <si>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</si>
  <si>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</si>
  <si>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</si>
  <si>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</si>
  <si>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</si>
  <si>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</si>
  <si>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</si>
  <si>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</si>
  <si>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</si>
  <si>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</si>
  <si>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</si>
  <si>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</si>
  <si>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</si>
  <si>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</si>
  <si>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</si>
  <si>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</si>
  <si>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</si>
  <si>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</si>
  <si>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</si>
  <si>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</si>
  <si>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</si>
  <si>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</si>
  <si>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</si>
  <si>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</si>
  <si>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</si>
  <si>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</si>
  <si>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</si>
  <si>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</si>
  <si>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</si>
  <si>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</si>
  <si>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</si>
  <si>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</si>
  <si>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</si>
  <si>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</si>
  <si>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</si>
  <si>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</si>
  <si>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</si>
  <si>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</si>
  <si>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</si>
  <si>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</si>
  <si>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</si>
  <si>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</si>
  <si>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</si>
  <si>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</si>
  <si>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</si>
  <si>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</si>
  <si>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</si>
  <si>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</si>
  <si>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</si>
  <si>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</si>
  <si>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</si>
  <si>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</si>
  <si>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</si>
  <si>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</si>
  <si>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</si>
  <si>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</si>
  <si>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</si>
  <si>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</si>
  <si>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</si>
  <si>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</si>
  <si>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</si>
  <si>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</si>
  <si>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</si>
  <si>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</si>
  <si>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</si>
  <si>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</si>
  <si>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</si>
  <si>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</si>
  <si>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</si>
  <si>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</si>
  <si>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</si>
  <si>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</si>
  <si>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</si>
  <si>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</si>
  <si>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</si>
  <si>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</si>
  <si>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</si>
  <si>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</si>
  <si>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</si>
  <si>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</si>
  <si>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</si>
  <si>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</si>
  <si>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</si>
  <si>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</si>
  <si>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</si>
  <si>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</si>
  <si>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</si>
  <si>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</si>
  <si>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</si>
  <si>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</si>
  <si>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</si>
  <si>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</si>
  <si>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</si>
  <si>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</si>
  <si>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</si>
  <si>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</si>
  <si>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</si>
  <si>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</si>
  <si>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</si>
  <si>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</si>
  <si>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</si>
  <si>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</si>
  <si>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</si>
  <si>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</si>
  <si>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</si>
  <si>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</si>
  <si>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</si>
  <si>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</si>
  <si>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</si>
  <si>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</si>
  <si>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</si>
  <si>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</si>
  <si>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</si>
  <si>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</si>
  <si>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</si>
  <si>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</si>
  <si>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</si>
  <si>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</si>
  <si>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</si>
  <si>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</si>
  <si>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</si>
  <si>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</si>
  <si>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</si>
  <si>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</si>
  <si>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</si>
  <si>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</si>
  <si>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</si>
  <si>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</si>
  <si>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</si>
  <si>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</si>
  <si>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</si>
  <si>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</si>
  <si>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</si>
  <si>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</si>
  <si>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</si>
  <si>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</si>
  <si>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</si>
  <si>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</si>
  <si>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</si>
  <si>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</si>
  <si>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</si>
  <si>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</si>
  <si>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</si>
  <si>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</si>
  <si>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</si>
  <si>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</si>
  <si>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</si>
  <si>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</si>
  <si>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</si>
  <si>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</si>
  <si>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</si>
  <si>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</si>
  <si>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</si>
  <si>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</si>
  <si>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</si>
  <si>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</si>
  <si>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</si>
  <si>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</si>
  <si>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</si>
  <si>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</si>
  <si>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</si>
  <si>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</si>
  <si>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</si>
  <si>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</si>
  <si>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</si>
  <si>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</si>
  <si>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</si>
  <si>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</si>
  <si>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</si>
  <si>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</si>
  <si>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</si>
  <si>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</si>
  <si>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</si>
  <si>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</si>
  <si>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</si>
  <si>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</si>
  <si>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</si>
  <si>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</si>
  <si>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</si>
  <si>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</si>
  <si>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</si>
  <si>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</si>
  <si>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</si>
  <si>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</si>
  <si>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</si>
  <si>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</si>
  <si>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</si>
  <si>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</si>
  <si>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</si>
  <si>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</si>
  <si>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</si>
  <si>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</si>
  <si>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</si>
  <si>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</si>
  <si>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</si>
  <si>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</si>
  <si>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</si>
  <si>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</si>
  <si>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</si>
  <si>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</si>
  <si>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</si>
  <si>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</si>
  <si>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</si>
  <si>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</si>
  <si>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</si>
  <si>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</si>
  <si>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</si>
  <si>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</si>
  <si>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</si>
  <si>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</si>
  <si>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</si>
  <si>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</si>
  <si>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</si>
  <si>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</si>
  <si>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</si>
  <si>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</si>
  <si>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</si>
  <si>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</si>
  <si>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</si>
  <si>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</si>
  <si>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</si>
  <si>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</si>
  <si>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</si>
  <si>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</si>
  <si>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</si>
  <si>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</si>
  <si>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</si>
  <si>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</si>
  <si>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</si>
  <si>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</si>
  <si>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</si>
  <si>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</si>
  <si>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</si>
  <si>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</si>
  <si>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</si>
  <si>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</si>
  <si>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</si>
  <si>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</si>
  <si>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</si>
  <si>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</si>
  <si>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</si>
  <si>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</si>
  <si>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</si>
  <si>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</si>
  <si>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</si>
  <si>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</si>
  <si>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</si>
  <si>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</si>
  <si>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</si>
  <si>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</si>
  <si>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</si>
  <si>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</si>
  <si>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</si>
  <si>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</si>
  <si>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</si>
  <si>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</si>
  <si>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</si>
  <si>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</si>
  <si>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</si>
  <si>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</si>
  <si>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</si>
  <si>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</si>
  <si>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</si>
  <si>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</si>
  <si>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</si>
  <si>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</si>
  <si>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</si>
  <si>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</si>
  <si>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</si>
  <si>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</si>
  <si>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</si>
  <si>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</si>
  <si>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</si>
  <si>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</si>
  <si>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</si>
  <si>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</si>
  <si>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</si>
  <si>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</si>
  <si>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</si>
  <si>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</si>
  <si>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</si>
  <si>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</si>
  <si>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</si>
  <si>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</si>
  <si>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</si>
  <si>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</si>
  <si>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</si>
  <si>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</si>
  <si>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</si>
  <si>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</si>
  <si>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</si>
  <si>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</si>
  <si>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</si>
  <si>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</si>
  <si>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</si>
  <si>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</si>
  <si>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</si>
  <si>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</si>
  <si>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</si>
  <si>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</si>
  <si>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</si>
  <si>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</si>
  <si>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</si>
  <si>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</si>
  <si>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</si>
  <si>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</si>
  <si>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</si>
  <si>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</si>
  <si>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</si>
  <si>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</si>
  <si>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</si>
  <si>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</si>
  <si>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</si>
  <si>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</si>
  <si>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</si>
  <si>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</si>
  <si>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</si>
  <si>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</si>
  <si>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</si>
  <si>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</si>
  <si>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</si>
  <si>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</si>
  <si>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</si>
  <si>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</si>
  <si>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</si>
  <si>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</si>
  <si>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</si>
  <si>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</si>
  <si>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</si>
  <si>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</si>
  <si>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</si>
  <si>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</si>
  <si>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</si>
  <si>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</si>
  <si>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</si>
  <si>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</si>
  <si>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</si>
  <si>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</si>
  <si>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</si>
  <si>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</si>
  <si>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</si>
  <si>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</si>
  <si>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</si>
  <si>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</si>
  <si>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</si>
  <si>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</si>
  <si>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</si>
  <si>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</si>
  <si>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</si>
  <si>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</si>
  <si>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</si>
  <si>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</si>
  <si>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</si>
  <si>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</si>
  <si>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</si>
  <si>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</si>
  <si>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</si>
  <si>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 xml:space="preserve">TEMPERO PIMENTA CALABRESA EM PÓ 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</si>
  <si>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</si>
  <si>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</si>
  <si>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</si>
  <si>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</si>
  <si>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</si>
  <si>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</si>
  <si>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</si>
  <si>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</si>
  <si>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</si>
  <si>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</si>
  <si>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</si>
  <si>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</si>
  <si>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</si>
  <si>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</si>
  <si>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</si>
  <si>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</si>
  <si>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</si>
  <si>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</si>
  <si>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</si>
  <si>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</si>
  <si>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</si>
  <si>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</si>
  <si>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</si>
  <si>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</si>
  <si>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</si>
  <si>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</si>
  <si>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</si>
  <si>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</si>
  <si>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</si>
  <si>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</si>
  <si>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</si>
  <si>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</si>
  <si>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</si>
  <si>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</si>
  <si>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</si>
  <si>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</si>
  <si>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</si>
  <si>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</si>
  <si>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</si>
  <si>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</si>
  <si>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</si>
  <si>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</si>
  <si>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</si>
  <si>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</si>
  <si>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</si>
  <si>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</si>
  <si>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</si>
  <si>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</si>
  <si>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</si>
  <si>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</si>
  <si>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</si>
  <si>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</si>
  <si>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</si>
  <si>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</si>
  <si>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</si>
  <si>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</si>
  <si>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</si>
  <si>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</si>
  <si>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</si>
  <si>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</si>
  <si>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</si>
  <si>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</si>
  <si>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</si>
  <si>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</si>
  <si>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</si>
  <si>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</si>
  <si>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</si>
  <si>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</si>
  <si>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</si>
  <si>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</si>
  <si>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</si>
  <si>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</si>
  <si>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</si>
  <si>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</si>
  <si>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</si>
  <si>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</si>
  <si>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</si>
  <si>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</si>
  <si>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</si>
  <si>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</si>
  <si>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</si>
  <si>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</si>
  <si>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</si>
  <si>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</si>
  <si>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</si>
  <si>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</si>
  <si>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</si>
  <si>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</si>
  <si>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</si>
  <si>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</si>
  <si>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</si>
  <si>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</si>
  <si>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</si>
  <si>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</si>
  <si>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</si>
  <si>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</si>
  <si>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</si>
  <si>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</si>
  <si>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</si>
  <si>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</si>
  <si>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</si>
  <si>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</si>
  <si>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</si>
  <si>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</si>
  <si>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</si>
  <si>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</si>
  <si>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</si>
  <si>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</si>
  <si>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</si>
  <si>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</si>
  <si>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</si>
  <si>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</si>
  <si>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</si>
  <si>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</si>
  <si>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</si>
  <si>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</si>
  <si>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</si>
  <si>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</si>
  <si>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323.50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</si>
  <si>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</si>
  <si>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</si>
  <si>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</si>
  <si>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</si>
  <si>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</si>
  <si>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</si>
  <si>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</si>
  <si>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</si>
  <si>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</si>
  <si>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</si>
  <si>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</si>
  <si>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</si>
  <si>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</si>
  <si>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</si>
  <si>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</si>
  <si>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</si>
  <si>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</si>
  <si>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</si>
  <si>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</si>
  <si>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</si>
  <si>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</si>
  <si>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</si>
  <si>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</si>
  <si>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</si>
  <si>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</si>
  <si>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</si>
  <si>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</si>
  <si>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</si>
  <si>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</si>
  <si>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</si>
  <si>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</si>
  <si>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</si>
  <si>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</si>
  <si>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</si>
  <si>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</si>
  <si>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</si>
  <si>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</si>
  <si>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</si>
  <si>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</si>
  <si>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</si>
  <si>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</si>
  <si>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</si>
  <si>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</si>
  <si>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</si>
  <si>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</si>
  <si>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</si>
  <si>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</si>
  <si>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</si>
  <si>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</si>
  <si>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</si>
  <si>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</si>
  <si>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</si>
  <si>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</si>
  <si>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</si>
  <si>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</si>
  <si>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</si>
  <si>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</si>
  <si>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</si>
  <si>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</si>
  <si>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</si>
  <si>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</si>
  <si>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</si>
  <si>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</si>
  <si>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</si>
  <si>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</si>
  <si>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</si>
  <si>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</si>
  <si>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</si>
  <si>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</si>
  <si>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</si>
  <si>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</si>
  <si>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</si>
  <si>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</si>
  <si>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</si>
  <si>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</si>
  <si>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</si>
  <si>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</si>
  <si>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</si>
  <si>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</si>
  <si>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</si>
  <si>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</si>
  <si>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</si>
  <si>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</si>
  <si>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</si>
  <si>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</si>
  <si>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</si>
  <si>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</si>
  <si>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</si>
  <si>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</si>
  <si>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312.50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</si>
  <si>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</si>
  <si>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</si>
  <si>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</si>
  <si>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</si>
  <si>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</si>
  <si>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</si>
  <si>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</si>
  <si>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</si>
  <si>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</si>
  <si>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</si>
  <si>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</si>
  <si>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</si>
  <si>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</si>
  <si>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</si>
  <si>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</si>
  <si>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</si>
  <si>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</si>
  <si>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</si>
  <si>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</si>
  <si>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</si>
  <si>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</si>
  <si>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</si>
  <si>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</si>
  <si>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</si>
  <si>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</si>
  <si>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</si>
  <si>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</si>
  <si>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</si>
  <si>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262.50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</si>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</sst>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130</v>
      </c>
      <c r="H16" s="3">
        <v>134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MROUND(G48*1.03,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MROUND(G49*1.03,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MROUND(G50*1.03,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MROUND(G51*1.03,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MROUND(G52*1.03,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MROUND(G53*1.03,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MROUND(G54*1.03,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MROUND(G55*1.03,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MROUND(G56*1.03,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MROUND(G57*1.03,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MROUND(G58*1.03,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MROUND(G59*1.03,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MROUND(G60*1.03,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MROUND(G61*1.03,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MROUND(G62*1.03,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MROUND(G63*1.03,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MROUND(G64*1.03,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MROUND(G65*1.03,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MROUND(G66*1.03,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MROUND(G67*1.03,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MROUND(G68*1.03,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MROUND(G69*1.03,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MROUND(G70*1.03,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MROUND(G71*1.03,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MROUND(G72*1.03,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MROUND(G73*1.03,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MROUND(G74*1.03,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MROUND(G75*1.03,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MROUND(G76*1.03,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MROUND(G77*1.03,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MROUND(G78*1.03,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MROUND(G79*1.03,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MROUND(G80*1.03,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MROUND(G81*1.03,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MROUND(G82*1.03,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MROUND(G83*1.03,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MROUND(G84*1.03, 0.5)</f>
      </c>
    </row>
    <row r="85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MROUND(G85*1.03, 0.5)</f>
      </c>
    </row>
    <row r="86" spans="1:8" x14ac:dyDescent="0.25">
      <c r="A86" s="4" t="s">
        <v>136</v>
      </c>
      <c r="B86" s="4" t="s">
        <v>137</v>
      </c>
      <c r="C86" s="3">
        <v>4179</v>
      </c>
      <c r="D86" s="3">
        <v>11</v>
      </c>
      <c r="E86" s="4" t="s">
        <v>10</v>
      </c>
      <c r="F86" s="4" t="s">
        <v>29</v>
      </c>
      <c r="G86" s="3">
        <v>528</v>
      </c>
      <c r="H86" s="3">
        <f>MROUND(G86*1.03, 0.5)</f>
      </c>
    </row>
    <row r="87" ht="19.5" customHeight="1" spans="1:8" x14ac:dyDescent="0.25">
      <c r="A87" s="4" t="s">
        <v>136</v>
      </c>
      <c r="B87" s="4" t="s">
        <v>137</v>
      </c>
      <c r="C87" s="3">
        <v>2330</v>
      </c>
      <c r="D87" s="3">
        <v>10</v>
      </c>
      <c r="E87" s="4" t="s">
        <v>10</v>
      </c>
      <c r="F87" s="4" t="s">
        <v>29</v>
      </c>
      <c r="G87" s="3">
        <v>480</v>
      </c>
      <c r="H87" s="3">
        <f>MROUND(G87*1.03, 0.5)</f>
      </c>
    </row>
    <row r="88" ht="19.5" customHeight="1" spans="1:8" x14ac:dyDescent="0.25">
      <c r="A88" s="4" t="s">
        <v>136</v>
      </c>
      <c r="B88" s="4" t="s">
        <v>137</v>
      </c>
      <c r="C88" s="3">
        <v>2385</v>
      </c>
      <c r="D88" s="3">
        <v>5</v>
      </c>
      <c r="E88" s="4" t="s">
        <v>10</v>
      </c>
      <c r="F88" s="4" t="s">
        <v>12</v>
      </c>
      <c r="G88" s="3">
        <v>242</v>
      </c>
      <c r="H88" s="3">
        <f>MROUND(G88*1.03, 0.5)</f>
      </c>
    </row>
    <row r="89" ht="18.75" customHeight="1" spans="1:8" x14ac:dyDescent="0.25">
      <c r="A89" s="4" t="s">
        <v>138</v>
      </c>
      <c r="B89" s="4" t="s">
        <v>139</v>
      </c>
      <c r="C89" s="3">
        <v>4540</v>
      </c>
      <c r="D89" s="3">
        <v>10</v>
      </c>
      <c r="E89" s="4" t="s">
        <v>10</v>
      </c>
      <c r="F89" s="4" t="s">
        <v>12</v>
      </c>
      <c r="G89" s="3">
        <v>650</v>
      </c>
      <c r="H89" s="3">
        <f>MROUND(G89*1.03, 0.5)</f>
      </c>
    </row>
    <row r="90" ht="18.75" customHeight="1" spans="1:8" x14ac:dyDescent="0.25">
      <c r="A90" s="4" t="s">
        <v>140</v>
      </c>
      <c r="B90" s="4" t="s">
        <v>141</v>
      </c>
      <c r="C90" s="3">
        <v>2384</v>
      </c>
      <c r="D90" s="3">
        <v>25</v>
      </c>
      <c r="E90" s="4" t="s">
        <v>10</v>
      </c>
      <c r="F90" s="4" t="s">
        <v>29</v>
      </c>
      <c r="G90" s="3">
        <v>187.5</v>
      </c>
      <c r="H90" s="3">
        <f>MROUND(G90*1.03, 0.5)</f>
      </c>
    </row>
    <row r="91" ht="18.75" customHeight="1" spans="1:8" x14ac:dyDescent="0.25">
      <c r="A91" s="4" t="s">
        <v>140</v>
      </c>
      <c r="B91" s="4" t="s">
        <v>141</v>
      </c>
      <c r="C91" s="3">
        <v>3851</v>
      </c>
      <c r="D91" s="3">
        <v>10</v>
      </c>
      <c r="E91" s="4" t="s">
        <v>10</v>
      </c>
      <c r="F91" s="4" t="s">
        <v>11</v>
      </c>
      <c r="G91" s="3">
        <v>75</v>
      </c>
      <c r="H91" s="3">
        <f>MROUND(G91*1.03, 0.5)</f>
      </c>
    </row>
    <row r="92" ht="18.75" customHeight="1" spans="1:8" x14ac:dyDescent="0.25">
      <c r="A92" s="4" t="s">
        <v>140</v>
      </c>
      <c r="B92" s="4" t="s">
        <v>141</v>
      </c>
      <c r="C92" s="3">
        <v>2424</v>
      </c>
      <c r="D92" s="3">
        <v>5</v>
      </c>
      <c r="E92" s="4" t="s">
        <v>10</v>
      </c>
      <c r="F92" s="4" t="s">
        <v>12</v>
      </c>
      <c r="G92" s="3">
        <v>39.5</v>
      </c>
      <c r="H92" s="3">
        <f>MROUND(G92*1.03,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675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138.5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MROUND(G48*1.03,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MROUND(G49*1.03,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MROUND(G50*1.03,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MROUND(G51*1.03,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MROUND(G52*1.03,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MROUND(G53*1.03,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MROUND(G54*1.03,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MROUND(G55*1.03,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MROUND(G56*1.03,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MROUND(G57*1.03,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MROUND(G58*1.03,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MROUND(G59*1.03,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MROUND(G60*1.03,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MROUND(G61*1.03,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MROUND(G62*1.03,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MROUND(G63*1.03,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MROUND(G64*1.03,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MROUND(G65*1.03,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MROUND(G66*1.03,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MROUND(G67*1.03,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MROUND(G68*1.03,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MROUND(G69*1.03,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MROUND(G70*1.03,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MROUND(G71*1.03,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MROUND(G72*1.03,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MROUND(G73*1.03,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MROUND(G74*1.03,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MROUND(G75*1.03,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MROUND(G76*1.03,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MROUND(G77*1.03,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MROUND(G31*1.03,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MROUND(G32*1.03,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MROUND(G33*1.03,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MROUND(G34*1.03,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MROUND(G35*1.03,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MROUND(G36*1.03,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MROUND(G37*1.03,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MROUND(G38*1.03,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MROUND(G39*1.03,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MROUND(G40*1.03,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MROUND(G41*1.03,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MROUND(G42*1.03,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MROUND(G43*1.03,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MROUND(G44*1.03,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MROUND(G45*1.03,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MROUND(G46*1.03,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MROUND(G47*1.03,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MROUND(G48*1.03,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MROUND(G49*1.03,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MROUND(G50*1.03,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MROUND(G51*1.03,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MROUND(G52*1.03,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MROUND(G53*1.03,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MROUND(G54*1.03,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MROUND(G55*1.03,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MROUND(G56*1.03,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MROUND(G57*1.03,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MROUND(G58*1.03,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MROUND(G59*1.03,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MROUND(G60*1.03,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MROUND(G61*1.03,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MROUND(G62*1.03,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MROUND(G63*1.03,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MROUND(G64*1.03,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MROUND(G65*1.03,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MROUND(G66*1.03,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MROUND(G67*1.03,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MROUND(G68*1.03,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MROUND(G69*1.03,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MROUND(G70*1.03,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MROUND(G71*1.03,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MROUND(G47*1.03,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MROUND(G48*1.03,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MROUND(G49*1.03,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MROUND(G50*1.03,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MROUND(G51*1.03,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MROUND(G52*1.03,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MROUND(G53*1.03,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MROUND(G54*1.03,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MROUND(G55*1.03,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MROUND(G56*1.03,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MROUND(G57*1.03,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MROUND(G58*1.03,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MROUND(G59*1.03,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MROUND(G60*1.03,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MROUND(G61*1.03,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MROUND(G62*1.03,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MROUND(G63*1.03,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MROUND(G64*1.03,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MROUND(G65*1.03,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MROUND(G66*1.03,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MROUND(G67*1.03,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MROUND(G68*1.03,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MROUND(G69*1.03,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MROUND(G70*1.03,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MROUND(G71*1.03,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MROUND(G72*1.03,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MROUND(G73*1.03,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MROUND(G74*1.03,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MROUND(G75*1.03,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MROUND(G76*1.03,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MROUND(G77*1.03,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MROUND(G78*1.03,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MROUND(G79*1.03,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MROUND(G80*1.03,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MROUND(G81*1.03,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MROUND(G82*1.03,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MROUND(G83*1.03,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MROUND(G84*1.03,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MROUND(G85*1.03,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MROUND(G86*1.03,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MROUND(G87*1.03,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90</v>
      </c>
      <c r="H88" s="3">
        <f>MROUND(G88*1.03,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MROUND(G89*1.03,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MROUND(G90*1.03,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MROUND(G91*1.03,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MROUND(G92*1.03,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412.5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250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140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335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70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556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MROUND(G110*1.03, 0.5)</f>
      </c>
    </row>
    <row r="111" ht="18.75" customHeight="1" spans="1:8" x14ac:dyDescent="0.25">
      <c r="A111" s="4" t="s">
        <v>555</v>
      </c>
      <c r="B111" s="4" t="s">
        <v>556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MROUND(G111*1.03, 0.5)</f>
      </c>
    </row>
    <row r="112" ht="18.75" customHeight="1" spans="1:8" x14ac:dyDescent="0.25">
      <c r="A112" s="4" t="s">
        <v>557</v>
      </c>
      <c r="B112" s="4" t="s">
        <v>558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MROUND(G112*1.03, 0.5)</f>
      </c>
    </row>
    <row r="113" ht="18.75" customHeight="1" spans="1:8" x14ac:dyDescent="0.25">
      <c r="A113" s="4" t="s">
        <v>557</v>
      </c>
      <c r="B113" s="4" t="s">
        <v>558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MROUND(G113*1.03, 0.5)</f>
      </c>
    </row>
    <row r="114" ht="18.75" customHeight="1" spans="1:8" x14ac:dyDescent="0.25">
      <c r="A114" s="4" t="s">
        <v>559</v>
      </c>
      <c r="B114" s="4" t="s">
        <v>560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MROUND(G114*1.03, 0.5)</f>
      </c>
    </row>
    <row r="115" ht="18.75" customHeight="1" spans="1:8" x14ac:dyDescent="0.25">
      <c r="A115" s="4" t="s">
        <v>561</v>
      </c>
      <c r="B115" s="4" t="s">
        <v>562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MROUND(G115*1.03, 0.5)</f>
      </c>
    </row>
    <row r="116" ht="18.75" customHeight="1" spans="1:8" x14ac:dyDescent="0.25">
      <c r="A116" s="4" t="s">
        <v>561</v>
      </c>
      <c r="B116" s="4" t="s">
        <v>562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MROUND(G116*1.03, 0.5)</f>
      </c>
    </row>
    <row r="117" ht="18.75" customHeight="1" spans="1:8" x14ac:dyDescent="0.25">
      <c r="A117" s="4" t="s">
        <v>563</v>
      </c>
      <c r="B117" s="4" t="s">
        <v>564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MROUND(G117*1.03, 0.5)</f>
      </c>
    </row>
    <row r="118" ht="18.75" customHeight="1" spans="1:8" x14ac:dyDescent="0.25">
      <c r="A118" s="4" t="s">
        <v>565</v>
      </c>
      <c r="B118" s="4" t="s">
        <v>566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567</v>
      </c>
      <c r="B2" s="4" t="s">
        <v>568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569</v>
      </c>
      <c r="B3" s="4" t="s">
        <v>570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569</v>
      </c>
      <c r="B4" s="4" t="s">
        <v>570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571</v>
      </c>
      <c r="B7" s="4" t="s">
        <v>572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571</v>
      </c>
      <c r="B8" s="4" t="s">
        <v>572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573</v>
      </c>
      <c r="B9" s="4" t="s">
        <v>574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575</v>
      </c>
      <c r="B10" s="4" t="s">
        <v>576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577</v>
      </c>
      <c r="B11" s="4" t="s">
        <v>578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577</v>
      </c>
      <c r="B12" s="4" t="s">
        <v>578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579</v>
      </c>
      <c r="B13" s="4" t="s">
        <v>580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579</v>
      </c>
      <c r="B14" s="4" t="s">
        <v>580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581</v>
      </c>
      <c r="B15" s="4" t="s">
        <v>582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581</v>
      </c>
      <c r="B16" s="4" t="s">
        <v>582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583</v>
      </c>
      <c r="B17" s="4" t="s">
        <v>584</v>
      </c>
      <c r="C17" s="3">
        <v>4558</v>
      </c>
      <c r="D17" s="3">
        <v>10</v>
      </c>
      <c r="E17" s="4" t="s">
        <v>585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586</v>
      </c>
      <c r="B18" s="4" t="s">
        <v>587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MROUND(G18*1.03, 0.5)</f>
      </c>
    </row>
    <row r="19" ht="19.5" customHeight="1" spans="1:8" x14ac:dyDescent="0.25">
      <c r="A19" s="4" t="s">
        <v>588</v>
      </c>
      <c r="B19" s="4" t="s">
        <v>589</v>
      </c>
      <c r="C19" s="3">
        <v>4048</v>
      </c>
      <c r="D19" s="3">
        <v>20</v>
      </c>
      <c r="E19" s="4" t="s">
        <v>585</v>
      </c>
      <c r="F19" s="4" t="s">
        <v>273</v>
      </c>
      <c r="G19" s="3">
        <v>55</v>
      </c>
      <c r="H19" s="3">
        <f>MROUND(G19*1.03, 0.5)</f>
      </c>
    </row>
    <row r="20" ht="19.5" customHeight="1" spans="1:8" x14ac:dyDescent="0.25">
      <c r="A20" s="4" t="s">
        <v>590</v>
      </c>
      <c r="B20" s="4" t="s">
        <v>591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MROUND(G20*1.03, 0.5)</f>
      </c>
    </row>
    <row r="21" ht="19.5" customHeight="1" spans="1:8" x14ac:dyDescent="0.25">
      <c r="A21" s="4" t="s">
        <v>590</v>
      </c>
      <c r="B21" s="4" t="s">
        <v>591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MROUND(G21*1.03, 0.5)</f>
      </c>
    </row>
    <row r="22" ht="19.5" customHeight="1" spans="1:8" x14ac:dyDescent="0.25">
      <c r="A22" s="4" t="s">
        <v>592</v>
      </c>
      <c r="B22" s="4" t="s">
        <v>593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MROUND(G22*1.03, 0.5)</f>
      </c>
    </row>
    <row r="23" ht="19.5" customHeight="1" spans="1:8" x14ac:dyDescent="0.25">
      <c r="A23" s="4" t="s">
        <v>592</v>
      </c>
      <c r="B23" s="4" t="s">
        <v>593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MROUND(G23*1.03, 0.5)</f>
      </c>
    </row>
    <row r="24" ht="19.5" customHeight="1" spans="1:8" x14ac:dyDescent="0.25">
      <c r="A24" s="4" t="s">
        <v>594</v>
      </c>
      <c r="B24" s="4" t="s">
        <v>595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596</v>
      </c>
      <c r="B25" s="4" t="s">
        <v>597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MROUND(G25*1.03, 0.5)</f>
      </c>
    </row>
    <row r="26" ht="19.5" customHeight="1" spans="1:8" x14ac:dyDescent="0.25">
      <c r="A26" s="4" t="s">
        <v>598</v>
      </c>
      <c r="B26" s="4" t="s">
        <v>599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MROUND(G26*1.03, 0.5)</f>
      </c>
    </row>
    <row r="27" ht="18.75" customHeight="1" spans="1:8" x14ac:dyDescent="0.25">
      <c r="A27" s="4" t="s">
        <v>600</v>
      </c>
      <c r="B27" s="4" t="s">
        <v>601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MROUND(G27*1.03, 0.5)</f>
      </c>
    </row>
    <row r="28" ht="18.75" customHeight="1" spans="1:8" x14ac:dyDescent="0.25">
      <c r="A28" s="4" t="s">
        <v>602</v>
      </c>
      <c r="B28" s="4" t="s">
        <v>603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MROUND(G28*1.03, 0.5)</f>
      </c>
    </row>
    <row r="29" ht="18.75" customHeight="1" spans="1:8" x14ac:dyDescent="0.25">
      <c r="A29" s="4" t="s">
        <v>604</v>
      </c>
      <c r="B29" s="4" t="s">
        <v>605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MROUND(G29*1.03, 0.5)</f>
      </c>
    </row>
    <row r="30" ht="18.75" customHeight="1" spans="1:8" x14ac:dyDescent="0.25">
      <c r="A30" s="4" t="s">
        <v>606</v>
      </c>
      <c r="B30" s="4" t="s">
        <v>607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MROUND(G30*1.03, 0.5)</f>
      </c>
    </row>
    <row r="31" ht="18.75" customHeight="1" spans="1:8" x14ac:dyDescent="0.25">
      <c r="A31" s="4" t="s">
        <v>608</v>
      </c>
      <c r="B31" s="4" t="s">
        <v>609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MROUND(G31*1.03, 0.5)</f>
      </c>
    </row>
    <row r="32" ht="18.75" customHeight="1" spans="1:8" x14ac:dyDescent="0.25">
      <c r="A32" s="4" t="s">
        <v>610</v>
      </c>
      <c r="B32" s="4" t="s">
        <v>611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MROUND(G32*1.03, 0.5)</f>
      </c>
    </row>
    <row r="33" ht="18.75" customHeight="1" spans="1:8" x14ac:dyDescent="0.25">
      <c r="A33" s="4" t="s">
        <v>612</v>
      </c>
      <c r="B33" s="4" t="s">
        <v>613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MROUND(G33*1.03, 0.5)</f>
      </c>
    </row>
    <row r="34" ht="18.75" customHeight="1" spans="1:8" x14ac:dyDescent="0.25">
      <c r="A34" s="4" t="s">
        <v>612</v>
      </c>
      <c r="B34" s="4" t="s">
        <v>613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MROUND(G34*1.03, 0.5)</f>
      </c>
    </row>
    <row r="35" ht="18.75" customHeight="1" spans="1:8" x14ac:dyDescent="0.25">
      <c r="A35" s="4" t="s">
        <v>614</v>
      </c>
      <c r="B35" s="4" t="s">
        <v>615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MROUND(G35*1.03, 0.5)</f>
      </c>
    </row>
    <row r="36" ht="18.75" customHeight="1" spans="1:8" x14ac:dyDescent="0.25">
      <c r="A36" s="4" t="s">
        <v>614</v>
      </c>
      <c r="B36" s="4" t="s">
        <v>615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MROUND(G36*1.03, 0.5)</f>
      </c>
    </row>
    <row r="37" ht="18.75" customHeight="1" spans="1:8" x14ac:dyDescent="0.25">
      <c r="A37" s="4" t="s">
        <v>616</v>
      </c>
      <c r="B37" s="4" t="s">
        <v>617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MROUND(G37*1.03, 0.5)</f>
      </c>
    </row>
    <row r="38" ht="18.75" customHeight="1" spans="1:8" x14ac:dyDescent="0.25">
      <c r="A38" s="4" t="s">
        <v>618</v>
      </c>
      <c r="B38" s="4" t="s">
        <v>619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MROUND(G38*1.03, 0.5)</f>
      </c>
    </row>
    <row r="39" ht="18.75" customHeight="1" spans="1:8" x14ac:dyDescent="0.25">
      <c r="A39" s="4" t="s">
        <v>618</v>
      </c>
      <c r="B39" s="4" t="s">
        <v>619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620</v>
      </c>
      <c r="B2" s="4" t="s">
        <v>621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622</v>
      </c>
      <c r="B3" s="4" t="s">
        <v>623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622</v>
      </c>
      <c r="B4" s="4" t="s">
        <v>623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624</v>
      </c>
      <c r="B5" s="4" t="s">
        <v>625</v>
      </c>
      <c r="C5" s="3">
        <v>3090</v>
      </c>
      <c r="D5" s="3">
        <v>5</v>
      </c>
      <c r="E5" s="4" t="s">
        <v>10</v>
      </c>
      <c r="F5" s="4" t="s">
        <v>29</v>
      </c>
      <c r="G5" s="3">
        <v>415</v>
      </c>
      <c r="H5" s="3">
        <f>MROUND(G5*1.03, 0.5)</f>
      </c>
    </row>
    <row r="6" ht="19.5" customHeight="1" spans="1:8" x14ac:dyDescent="0.25">
      <c r="A6" s="4" t="s">
        <v>626</v>
      </c>
      <c r="B6" s="4" t="s">
        <v>627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628</v>
      </c>
      <c r="B7" s="4" t="s">
        <v>629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628</v>
      </c>
      <c r="B8" s="4" t="s">
        <v>629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630</v>
      </c>
      <c r="B9" s="4" t="s">
        <v>631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630</v>
      </c>
      <c r="B10" s="4" t="s">
        <v>631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632</v>
      </c>
      <c r="B11" s="4" t="s">
        <v>633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632</v>
      </c>
      <c r="B12" s="4" t="s">
        <v>633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634</v>
      </c>
      <c r="B13" s="4" t="s">
        <v>635</v>
      </c>
      <c r="C13" s="3">
        <v>4585</v>
      </c>
      <c r="D13" s="3">
        <v>2</v>
      </c>
      <c r="E13" s="4" t="s">
        <v>636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634</v>
      </c>
      <c r="B14" s="4" t="s">
        <v>635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634</v>
      </c>
      <c r="B15" s="4" t="s">
        <v>635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MROUND(G15*1.03, 0.5)</f>
      </c>
    </row>
    <row r="16" ht="19.5" customHeight="1" spans="1:8" x14ac:dyDescent="0.25">
      <c r="A16" s="4" t="s">
        <v>637</v>
      </c>
      <c r="B16" s="4" t="s">
        <v>638</v>
      </c>
      <c r="C16" s="3">
        <v>2756</v>
      </c>
      <c r="D16" s="3">
        <v>2</v>
      </c>
      <c r="E16" s="4" t="s">
        <v>636</v>
      </c>
      <c r="F16" s="4" t="s">
        <v>12</v>
      </c>
      <c r="G16" s="3">
        <v>580</v>
      </c>
      <c r="H16" s="3">
        <f>MROUND(G16*1.03, 0.5)</f>
      </c>
    </row>
    <row r="17" ht="19.5" customHeight="1" spans="1:8" x14ac:dyDescent="0.25">
      <c r="A17" s="4" t="s">
        <v>637</v>
      </c>
      <c r="B17" s="4" t="s">
        <v>638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MROUND(G17*1.03, 0.5)</f>
      </c>
    </row>
    <row r="18" ht="19.5" customHeight="1" spans="1:8" x14ac:dyDescent="0.25">
      <c r="A18" s="4" t="s">
        <v>639</v>
      </c>
      <c r="B18" s="4" t="s">
        <v>640</v>
      </c>
      <c r="C18" s="3">
        <v>4491</v>
      </c>
      <c r="D18" s="3">
        <v>2</v>
      </c>
      <c r="E18" s="4" t="s">
        <v>636</v>
      </c>
      <c r="F18" s="4" t="s">
        <v>29</v>
      </c>
      <c r="G18" s="3">
        <v>675.5</v>
      </c>
      <c r="H18" s="3">
        <f>MROUND(G18*1.03, 0.5)</f>
      </c>
    </row>
    <row r="19" ht="19.5" customHeight="1" spans="1:8" x14ac:dyDescent="0.25">
      <c r="A19" s="4" t="s">
        <v>639</v>
      </c>
      <c r="B19" s="4" t="s">
        <v>640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MROUND(G19*1.03,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MROUND(G20*1.03, 0.5)</f>
      </c>
    </row>
    <row r="21" ht="19.5" customHeight="1" spans="1:8" x14ac:dyDescent="0.25">
      <c r="A21" s="4" t="s">
        <v>641</v>
      </c>
      <c r="B21" s="4" t="s">
        <v>642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MROUND(G21*1.03, 0.5)</f>
      </c>
    </row>
    <row r="22" ht="19.5" customHeight="1" spans="1:8" x14ac:dyDescent="0.25">
      <c r="A22" s="4" t="s">
        <v>643</v>
      </c>
      <c r="B22" s="4" t="s">
        <v>644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MROUND(G22*1.03, 0.5)</f>
      </c>
    </row>
    <row r="23" ht="19.5" customHeight="1" spans="1:8" x14ac:dyDescent="0.25">
      <c r="A23" s="4" t="s">
        <v>645</v>
      </c>
      <c r="B23" s="4" t="s">
        <v>646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MROUND(G23*1.03, 0.5)</f>
      </c>
    </row>
    <row r="24" spans="1:8" x14ac:dyDescent="0.25">
      <c r="A24" s="4" t="s">
        <v>647</v>
      </c>
      <c r="B24" s="4" t="s">
        <v>648</v>
      </c>
      <c r="C24" s="3">
        <v>2406</v>
      </c>
      <c r="D24" s="3">
        <v>12.5</v>
      </c>
      <c r="E24" s="4" t="s">
        <v>10</v>
      </c>
      <c r="F24" s="4" t="s">
        <v>29</v>
      </c>
      <c r="G24" s="3">
        <v>400</v>
      </c>
      <c r="H24" s="3">
        <f>MROUND(G25*1.03, 0.5)</f>
      </c>
    </row>
    <row r="25" ht="19.5" customHeight="1" spans="1:8" x14ac:dyDescent="0.25">
      <c r="A25" s="4" t="s">
        <v>647</v>
      </c>
      <c r="B25" s="4" t="s">
        <v>648</v>
      </c>
      <c r="C25" s="3">
        <v>3111</v>
      </c>
      <c r="D25" s="3">
        <v>10</v>
      </c>
      <c r="E25" s="4" t="s">
        <v>10</v>
      </c>
      <c r="F25" s="4" t="s">
        <v>29</v>
      </c>
      <c r="G25" s="3">
        <v>320</v>
      </c>
      <c r="H25" s="3">
        <f>MROUND(G25*1.03, 0.5)</f>
      </c>
    </row>
    <row r="26" ht="19.5" customHeight="1" spans="1:8" x14ac:dyDescent="0.25">
      <c r="A26" s="4" t="s">
        <v>30</v>
      </c>
      <c r="B26" s="4" t="s">
        <v>31</v>
      </c>
      <c r="C26" s="3">
        <v>2229</v>
      </c>
      <c r="D26" s="3">
        <v>10</v>
      </c>
      <c r="E26" s="4" t="s">
        <v>10</v>
      </c>
      <c r="F26" s="4" t="s">
        <v>29</v>
      </c>
      <c r="G26" s="3">
        <v>130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649</v>
      </c>
      <c r="B2" s="4" t="s">
        <v>650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649</v>
      </c>
      <c r="B3" s="4" t="s">
        <v>650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649</v>
      </c>
      <c r="B4" s="4" t="s">
        <v>650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651</v>
      </c>
      <c r="B5" s="4" t="s">
        <v>652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651</v>
      </c>
      <c r="B6" s="4" t="s">
        <v>652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653</v>
      </c>
      <c r="B7" s="4" t="s">
        <v>654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653</v>
      </c>
      <c r="B8" s="4" t="s">
        <v>654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655</v>
      </c>
      <c r="B9" s="4" t="s">
        <v>656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655</v>
      </c>
      <c r="B10" s="4" t="s">
        <v>656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657</v>
      </c>
      <c r="B11" s="4" t="s">
        <v>658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657</v>
      </c>
      <c r="B12" s="4" t="s">
        <v>658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659</v>
      </c>
      <c r="B13" s="4" t="s">
        <v>660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659</v>
      </c>
      <c r="B14" s="4" t="s">
        <v>660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661</v>
      </c>
      <c r="B15" s="4" t="s">
        <v>662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661</v>
      </c>
      <c r="B16" s="4" t="s">
        <v>662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663</v>
      </c>
      <c r="B17" s="4" t="s">
        <v>664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663</v>
      </c>
      <c r="B18" s="4" t="s">
        <v>664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665</v>
      </c>
      <c r="B19" s="4" t="s">
        <v>666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665</v>
      </c>
      <c r="B20" s="4" t="s">
        <v>666</v>
      </c>
      <c r="C20" s="3">
        <v>4201</v>
      </c>
      <c r="D20" s="3">
        <v>2</v>
      </c>
      <c r="E20" s="4" t="s">
        <v>636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667</v>
      </c>
      <c r="B21" s="4" t="s">
        <v>668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667</v>
      </c>
      <c r="B22" s="4" t="s">
        <v>668</v>
      </c>
      <c r="C22" s="3">
        <v>2484</v>
      </c>
      <c r="D22" s="3">
        <v>5</v>
      </c>
      <c r="E22" s="4" t="s">
        <v>10</v>
      </c>
      <c r="F22" s="4" t="s">
        <v>12</v>
      </c>
      <c r="G22" s="3">
        <v>27.5</v>
      </c>
      <c r="H22" s="3">
        <f>MROUND(G22*1.03, 0.5)</f>
      </c>
    </row>
    <row r="23" ht="19.5" customHeight="1" spans="1:8" x14ac:dyDescent="0.25">
      <c r="A23" s="4" t="s">
        <v>669</v>
      </c>
      <c r="B23" s="4" t="s">
        <v>670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669</v>
      </c>
      <c r="B24" s="4" t="s">
        <v>670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669</v>
      </c>
      <c r="B25" s="4" t="s">
        <v>670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671</v>
      </c>
      <c r="B26" s="4" t="s">
        <v>672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671</v>
      </c>
      <c r="B27" s="4" t="s">
        <v>672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671</v>
      </c>
      <c r="B28" s="4" t="s">
        <v>672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673</v>
      </c>
      <c r="B29" s="4" t="s">
        <v>674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673</v>
      </c>
      <c r="B30" s="4" t="s">
        <v>674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1600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 t="s">
        <v>675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676</v>
      </c>
      <c r="B35" s="4" t="s">
        <v>677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678</v>
      </c>
      <c r="B2" s="4" t="s">
        <v>679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680</v>
      </c>
      <c r="B3" s="4" t="s">
        <v>681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680</v>
      </c>
      <c r="B4" s="4" t="s">
        <v>681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682</v>
      </c>
      <c r="B5" s="4" t="s">
        <v>683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682</v>
      </c>
      <c r="B6" s="4" t="s">
        <v>683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682</v>
      </c>
      <c r="B7" s="4" t="s">
        <v>683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684</v>
      </c>
      <c r="B8" s="4" t="s">
        <v>685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684</v>
      </c>
      <c r="B9" s="4" t="s">
        <v>685</v>
      </c>
      <c r="C9" s="3">
        <v>3707</v>
      </c>
      <c r="D9" s="3">
        <v>20</v>
      </c>
      <c r="E9" s="4" t="s">
        <v>585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684</v>
      </c>
      <c r="B10" s="4" t="s">
        <v>685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686</v>
      </c>
      <c r="B11" s="4" t="s">
        <v>687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688</v>
      </c>
      <c r="B13" s="4" t="s">
        <v>689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688</v>
      </c>
      <c r="B14" s="4" t="s">
        <v>689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690</v>
      </c>
      <c r="B18" s="4" t="s">
        <v>691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692</v>
      </c>
      <c r="B19" s="4" t="s">
        <v>693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692</v>
      </c>
      <c r="B20" s="4" t="s">
        <v>693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694</v>
      </c>
      <c r="B21" s="4" t="s">
        <v>695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694</v>
      </c>
      <c r="B22" s="4" t="s">
        <v>695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696</v>
      </c>
      <c r="B23" s="4" t="s">
        <v>697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698</v>
      </c>
      <c r="B24" s="4" t="s">
        <v>699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700</v>
      </c>
      <c r="B25" s="4" t="s">
        <v>701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700</v>
      </c>
      <c r="B26" s="4" t="s">
        <v>701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700</v>
      </c>
      <c r="B27" s="4" t="s">
        <v>701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702</v>
      </c>
      <c r="B28" s="4" t="s">
        <v>703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702</v>
      </c>
      <c r="B29" s="4" t="s">
        <v>703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702</v>
      </c>
      <c r="B30" s="4" t="s">
        <v>703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704</v>
      </c>
      <c r="B31" s="4" t="s">
        <v>705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706</v>
      </c>
      <c r="B32" s="4" t="s">
        <v>707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708</v>
      </c>
      <c r="B33" s="4" t="s">
        <v>709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710</v>
      </c>
      <c r="B34" s="4" t="s">
        <v>711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712</v>
      </c>
      <c r="B35" s="4" t="s">
        <v>713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712</v>
      </c>
      <c r="B36" s="4" t="s">
        <v>713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714</v>
      </c>
      <c r="B37" s="4" t="s">
        <v>715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714</v>
      </c>
      <c r="B38" s="4" t="s">
        <v>715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716</v>
      </c>
      <c r="B39" s="4" t="s">
        <v>717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718</v>
      </c>
      <c r="B40" s="4" t="s">
        <v>719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720</v>
      </c>
      <c r="B41" s="4" t="s">
        <v>721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722</v>
      </c>
      <c r="B42" s="4" t="s">
        <v>723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724</v>
      </c>
      <c r="B43" s="4" t="s">
        <v>587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725</v>
      </c>
      <c r="B44" s="4" t="s">
        <v>726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727</v>
      </c>
      <c r="B45" s="4" t="s">
        <v>728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727</v>
      </c>
      <c r="B46" s="4" t="s">
        <v>728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729</v>
      </c>
      <c r="B47" s="4" t="s">
        <v>730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729</v>
      </c>
      <c r="B48" s="4" t="s">
        <v>730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731</v>
      </c>
      <c r="B49" s="4" t="s">
        <v>732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731</v>
      </c>
      <c r="B50" s="4" t="s">
        <v>732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733</v>
      </c>
      <c r="B51" s="4" t="s">
        <v>734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735</v>
      </c>
      <c r="B52" s="4" t="s">
        <v>736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735</v>
      </c>
      <c r="B53" s="4" t="s">
        <v>736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735</v>
      </c>
      <c r="B54" s="4" t="s">
        <v>736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735</v>
      </c>
      <c r="B55" s="4" t="s">
        <v>736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737</v>
      </c>
      <c r="B56" s="4" t="s">
        <v>738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739</v>
      </c>
      <c r="B57" s="4" t="s">
        <v>740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741</v>
      </c>
      <c r="B58" s="4" t="s">
        <v>742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743</v>
      </c>
      <c r="B59" s="4" t="s">
        <v>744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743</v>
      </c>
      <c r="B60" s="4" t="s">
        <v>744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745</v>
      </c>
      <c r="B61" s="4" t="s">
        <v>746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747</v>
      </c>
      <c r="B62" s="4" t="s">
        <v>748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749</v>
      </c>
      <c r="B63" s="4" t="s">
        <v>750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747</v>
      </c>
      <c r="B64" s="4" t="s">
        <v>748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751</v>
      </c>
      <c r="B65" s="4" t="s">
        <v>752</v>
      </c>
      <c r="C65" s="3">
        <v>2806</v>
      </c>
      <c r="D65" s="3">
        <v>15</v>
      </c>
      <c r="E65" s="4" t="s">
        <v>10</v>
      </c>
      <c r="F65" s="4" t="s">
        <v>273</v>
      </c>
      <c r="G65" s="3">
        <v>472.5</v>
      </c>
      <c r="H65" s="3">
        <f>MROUND(G65*1.03, 0.5)</f>
      </c>
    </row>
    <row r="66" ht="18.75" customHeight="1" spans="1:8" x14ac:dyDescent="0.25">
      <c r="A66" s="4" t="s">
        <v>751</v>
      </c>
      <c r="B66" s="4" t="s">
        <v>752</v>
      </c>
      <c r="C66" s="3">
        <v>2807</v>
      </c>
      <c r="D66" s="3">
        <v>5</v>
      </c>
      <c r="E66" s="4" t="s">
        <v>10</v>
      </c>
      <c r="F66" s="4" t="s">
        <v>29</v>
      </c>
      <c r="G66" s="3">
        <v>159.5</v>
      </c>
      <c r="H66" s="3">
        <f>MROUND(G66*1.03, 0.5)</f>
      </c>
    </row>
    <row r="67" ht="18.75" customHeight="1" spans="1:8" x14ac:dyDescent="0.25">
      <c r="A67" s="4" t="s">
        <v>753</v>
      </c>
      <c r="B67" s="4" t="s">
        <v>754</v>
      </c>
      <c r="C67" s="3">
        <v>4556</v>
      </c>
      <c r="D67" s="3">
        <v>25</v>
      </c>
      <c r="E67" s="4" t="s">
        <v>10</v>
      </c>
      <c r="F67" s="4" t="s">
        <v>11</v>
      </c>
      <c r="G67" s="3">
        <v>975</v>
      </c>
      <c r="H67" s="3">
        <f>MROUND(G67*1.03, 0.5)</f>
      </c>
    </row>
    <row r="68" ht="18.75" customHeight="1" spans="1:8" x14ac:dyDescent="0.25">
      <c r="A68" s="4" t="s">
        <v>753</v>
      </c>
      <c r="B68" s="4" t="s">
        <v>754</v>
      </c>
      <c r="C68" s="3">
        <v>4557</v>
      </c>
      <c r="D68" s="3">
        <v>5</v>
      </c>
      <c r="E68" s="4" t="s">
        <v>10</v>
      </c>
      <c r="F68" s="4" t="s">
        <v>12</v>
      </c>
      <c r="G68" s="3">
        <v>198.5</v>
      </c>
      <c r="H68" s="3">
        <f>MROUND(G68*1.03, 0.5)</f>
      </c>
    </row>
    <row r="69" ht="18.75" customHeight="1" spans="1:8" x14ac:dyDescent="0.25">
      <c r="A69" s="4" t="s">
        <v>755</v>
      </c>
      <c r="B69" s="4" t="s">
        <v>756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755</v>
      </c>
      <c r="B70" s="4" t="s">
        <v>756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757</v>
      </c>
      <c r="B71" s="4" t="s">
        <v>758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757</v>
      </c>
      <c r="B72" s="4" t="s">
        <v>758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759</v>
      </c>
      <c r="B73" s="4" t="s">
        <v>760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761</v>
      </c>
      <c r="B74" s="4" t="s">
        <v>762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763</v>
      </c>
      <c r="B75" s="4" t="s">
        <v>764</v>
      </c>
      <c r="C75" s="3">
        <v>195</v>
      </c>
      <c r="D75" s="3">
        <v>25</v>
      </c>
      <c r="E75" s="4" t="s">
        <v>10</v>
      </c>
      <c r="F75" s="4" t="s">
        <v>11</v>
      </c>
      <c r="G75" s="3" t="s">
        <v>765</v>
      </c>
      <c r="H75" s="3">
        <f>MROUND(G75*1.03, 0.5)</f>
      </c>
    </row>
    <row r="76" ht="18.75" customHeight="1" spans="1:8" x14ac:dyDescent="0.25">
      <c r="A76" s="4" t="s">
        <v>763</v>
      </c>
      <c r="B76" s="4" t="s">
        <v>764</v>
      </c>
      <c r="C76" s="3">
        <v>54</v>
      </c>
      <c r="D76" s="3">
        <v>5</v>
      </c>
      <c r="E76" s="4" t="s">
        <v>10</v>
      </c>
      <c r="F76" s="4" t="s">
        <v>12</v>
      </c>
      <c r="G76" s="3">
        <v>65.5</v>
      </c>
      <c r="H76" s="3">
        <f>MROUND(G76*1.03, 0.5)</f>
      </c>
    </row>
    <row r="77" ht="18.75" customHeight="1" spans="1:8" x14ac:dyDescent="0.25">
      <c r="A77" s="4" t="s">
        <v>766</v>
      </c>
      <c r="B77" s="4" t="s">
        <v>767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766</v>
      </c>
      <c r="B78" s="4" t="s">
        <v>767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768</v>
      </c>
      <c r="B79" s="4" t="s">
        <v>769</v>
      </c>
      <c r="C79" s="3">
        <v>2974</v>
      </c>
      <c r="D79" s="3">
        <v>10</v>
      </c>
      <c r="E79" s="4" t="s">
        <v>10</v>
      </c>
      <c r="F79" s="4" t="s">
        <v>11</v>
      </c>
      <c r="G79" s="3">
        <v>250</v>
      </c>
      <c r="H79" s="3">
        <f>MROUND(G79*1.03, 0.5)</f>
      </c>
    </row>
    <row r="80" ht="18.75" customHeight="1" spans="1:8" x14ac:dyDescent="0.25">
      <c r="A80" s="4" t="s">
        <v>768</v>
      </c>
      <c r="B80" s="4" t="s">
        <v>769</v>
      </c>
      <c r="C80" s="3">
        <v>2831</v>
      </c>
      <c r="D80" s="3">
        <v>5</v>
      </c>
      <c r="E80" s="4" t="s">
        <v>10</v>
      </c>
      <c r="F80" s="4" t="s">
        <v>12</v>
      </c>
      <c r="G80" s="3">
        <v>127</v>
      </c>
      <c r="H80" s="3">
        <f>MROUND(G80*1.03, 0.5)</f>
      </c>
    </row>
    <row r="81" ht="18.75" customHeight="1" spans="1:8" x14ac:dyDescent="0.25">
      <c r="A81" s="4" t="s">
        <v>770</v>
      </c>
      <c r="B81" s="4" t="s">
        <v>771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772</v>
      </c>
      <c r="B82" s="4" t="s">
        <v>773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774</v>
      </c>
      <c r="B83" s="4" t="s">
        <v>775</v>
      </c>
      <c r="C83" s="3">
        <v>4566</v>
      </c>
      <c r="D83" s="3">
        <v>5</v>
      </c>
      <c r="E83" s="4" t="s">
        <v>10</v>
      </c>
      <c r="F83" s="4" t="s">
        <v>12</v>
      </c>
      <c r="G83" s="3">
        <v>240</v>
      </c>
      <c r="H83" s="3">
        <f>MROUND(G83*1.03, 0.5)</f>
      </c>
    </row>
    <row r="84" ht="18.75" customHeight="1" spans="1:8" x14ac:dyDescent="0.25">
      <c r="A84" s="4" t="s">
        <v>776</v>
      </c>
      <c r="B84" s="4" t="s">
        <v>777</v>
      </c>
      <c r="C84" s="3">
        <v>4567</v>
      </c>
      <c r="D84" s="3">
        <v>5</v>
      </c>
      <c r="E84" s="4" t="s">
        <v>10</v>
      </c>
      <c r="F84" s="4" t="s">
        <v>12</v>
      </c>
      <c r="G84" s="3">
        <v>240</v>
      </c>
      <c r="H84" s="3">
        <f>MROUND(G84*1.03, 0.5)</f>
      </c>
    </row>
    <row r="85" ht="18.75" customHeight="1" spans="1:8" x14ac:dyDescent="0.25">
      <c r="A85" s="4" t="s">
        <v>778</v>
      </c>
      <c r="B85" s="4" t="s">
        <v>779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778</v>
      </c>
      <c r="B86" s="4" t="s">
        <v>779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780</v>
      </c>
      <c r="B87" s="4" t="s">
        <v>781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MROUND(G87*1.03, 0.5)</f>
      </c>
    </row>
    <row r="88" ht="18.75" customHeight="1" spans="1:8" x14ac:dyDescent="0.25">
      <c r="A88" s="4" t="s">
        <v>780</v>
      </c>
      <c r="B88" s="4" t="s">
        <v>781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MROUND(G88*1.03, 0.5)</f>
      </c>
    </row>
    <row r="89" ht="18.75" customHeight="1" spans="1:8" x14ac:dyDescent="0.25">
      <c r="A89" s="4" t="s">
        <v>782</v>
      </c>
      <c r="B89" s="4" t="s">
        <v>783</v>
      </c>
      <c r="C89" s="3">
        <v>3524</v>
      </c>
      <c r="D89" s="3">
        <v>17</v>
      </c>
      <c r="E89" s="4" t="s">
        <v>10</v>
      </c>
      <c r="F89" s="4" t="s">
        <v>784</v>
      </c>
      <c r="G89" s="3">
        <v>350</v>
      </c>
      <c r="H89" s="3">
        <f>MROUND(G89*1.03, 0.5)</f>
      </c>
    </row>
    <row r="90" ht="18.75" customHeight="1" spans="1:8" x14ac:dyDescent="0.25">
      <c r="A90" s="4" t="s">
        <v>782</v>
      </c>
      <c r="B90" s="4" t="s">
        <v>783</v>
      </c>
      <c r="C90" s="3">
        <v>3523</v>
      </c>
      <c r="D90" s="3">
        <v>3</v>
      </c>
      <c r="E90" s="4" t="s">
        <v>10</v>
      </c>
      <c r="F90" s="4" t="s">
        <v>784</v>
      </c>
      <c r="G90" s="3">
        <v>72</v>
      </c>
      <c r="H90" s="3">
        <f>MROUND(G90*1.03, 0.5)</f>
      </c>
    </row>
    <row r="91" ht="18.75" customHeight="1" spans="1:8" x14ac:dyDescent="0.25">
      <c r="A91" s="4" t="s">
        <v>785</v>
      </c>
      <c r="B91" s="4" t="s">
        <v>786</v>
      </c>
      <c r="C91" s="3">
        <v>3521</v>
      </c>
      <c r="D91" s="3">
        <v>16</v>
      </c>
      <c r="E91" s="4" t="s">
        <v>787</v>
      </c>
      <c r="F91" s="4" t="s">
        <v>29</v>
      </c>
      <c r="G91" s="3">
        <v>158</v>
      </c>
      <c r="H91" s="3">
        <f>MROUND(G91*1.03, 0.5)</f>
      </c>
    </row>
    <row r="92" ht="18.75" customHeight="1" spans="1:8" x14ac:dyDescent="0.25">
      <c r="A92" s="4" t="s">
        <v>785</v>
      </c>
      <c r="B92" s="4" t="s">
        <v>786</v>
      </c>
      <c r="C92" s="3">
        <v>3522</v>
      </c>
      <c r="D92" s="3">
        <v>12</v>
      </c>
      <c r="E92" s="4" t="s">
        <v>585</v>
      </c>
      <c r="F92" s="4" t="s">
        <v>29</v>
      </c>
      <c r="G92" s="3">
        <v>216.5</v>
      </c>
      <c r="H92" s="3">
        <f>MROUND(G92*1.03, 0.5)</f>
      </c>
    </row>
    <row r="93" ht="18.75" customHeight="1" spans="1:8" x14ac:dyDescent="0.25">
      <c r="A93" s="4" t="s">
        <v>788</v>
      </c>
      <c r="B93" s="4" t="s">
        <v>789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MROUND(G93*1.03, 0.5)</f>
      </c>
    </row>
    <row r="94" ht="18.75" customHeight="1" spans="1:8" x14ac:dyDescent="0.25">
      <c r="A94" s="4" t="s">
        <v>790</v>
      </c>
      <c r="B94" s="4" t="s">
        <v>791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MROUND(G94*1.03, 0.5)</f>
      </c>
    </row>
    <row r="95" ht="18.75" customHeight="1" spans="1:8" x14ac:dyDescent="0.25">
      <c r="A95" s="4" t="s">
        <v>792</v>
      </c>
      <c r="B95" s="4" t="s">
        <v>793</v>
      </c>
      <c r="C95" s="3">
        <v>3637</v>
      </c>
      <c r="D95" s="3">
        <v>25</v>
      </c>
      <c r="E95" s="4" t="s">
        <v>10</v>
      </c>
      <c r="F95" s="4" t="s">
        <v>11</v>
      </c>
      <c r="G95" s="3" t="s">
        <v>794</v>
      </c>
      <c r="H95" s="3">
        <f>MROUND(G95*1.03, 0.5)</f>
      </c>
    </row>
    <row r="96" ht="18.75" customHeight="1" spans="1:8" x14ac:dyDescent="0.25">
      <c r="A96" s="4" t="s">
        <v>792</v>
      </c>
      <c r="B96" s="4" t="s">
        <v>793</v>
      </c>
      <c r="C96" s="3">
        <v>2805</v>
      </c>
      <c r="D96" s="3">
        <v>10</v>
      </c>
      <c r="E96" s="4" t="s">
        <v>10</v>
      </c>
      <c r="F96" s="4" t="s">
        <v>11</v>
      </c>
      <c r="G96" s="3">
        <v>105</v>
      </c>
      <c r="H96" s="3">
        <f>MROUND(G96*1.03, 0.5)</f>
      </c>
    </row>
    <row r="97" ht="18.75" customHeight="1" spans="1:8" x14ac:dyDescent="0.25">
      <c r="A97" s="4" t="s">
        <v>792</v>
      </c>
      <c r="B97" s="4" t="s">
        <v>793</v>
      </c>
      <c r="C97" s="3">
        <v>2427</v>
      </c>
      <c r="D97" s="3">
        <v>3</v>
      </c>
      <c r="E97" s="4" t="s">
        <v>10</v>
      </c>
      <c r="F97" s="4" t="s">
        <v>12</v>
      </c>
      <c r="G97" s="3">
        <v>33</v>
      </c>
      <c r="H97" s="3">
        <f>MROUND(G97*1.03, 0.5)</f>
      </c>
    </row>
    <row r="98" ht="18.75" customHeight="1" spans="1:8" x14ac:dyDescent="0.25">
      <c r="A98" s="4" t="s">
        <v>795</v>
      </c>
      <c r="B98" s="4" t="s">
        <v>796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MROUND(G98*1.03, 0.5)</f>
      </c>
    </row>
    <row r="99" ht="18.75" customHeight="1" spans="1:8" x14ac:dyDescent="0.25">
      <c r="A99" s="4" t="s">
        <v>795</v>
      </c>
      <c r="B99" s="4" t="s">
        <v>796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MROUND(G99*1.03, 0.5)</f>
      </c>
    </row>
    <row r="100" ht="18.75" customHeight="1" spans="1:8" x14ac:dyDescent="0.25">
      <c r="A100" s="4" t="s">
        <v>797</v>
      </c>
      <c r="B100" s="4" t="s">
        <v>798</v>
      </c>
      <c r="C100" s="3">
        <v>3395</v>
      </c>
      <c r="D100" s="3">
        <v>12</v>
      </c>
      <c r="E100" s="4" t="s">
        <v>799</v>
      </c>
      <c r="F100" s="4" t="s">
        <v>29</v>
      </c>
      <c r="G100" s="3">
        <v>54</v>
      </c>
      <c r="H100" s="3">
        <f>MROUND(G100*1.03, 0.5)</f>
      </c>
    </row>
    <row r="101" ht="18.75" customHeight="1" spans="1:8" x14ac:dyDescent="0.25">
      <c r="A101" s="4" t="s">
        <v>800</v>
      </c>
      <c r="B101" s="4" t="s">
        <v>801</v>
      </c>
      <c r="C101" s="3">
        <v>3490</v>
      </c>
      <c r="D101" s="3">
        <v>12</v>
      </c>
      <c r="E101" s="4" t="s">
        <v>799</v>
      </c>
      <c r="F101" s="4" t="s">
        <v>29</v>
      </c>
      <c r="G101" s="3">
        <v>169</v>
      </c>
      <c r="H101" s="3">
        <f>MROUND(G101*1.03, 0.5)</f>
      </c>
    </row>
    <row r="102" ht="18.75" customHeight="1" spans="1:8" x14ac:dyDescent="0.25">
      <c r="A102" s="4" t="s">
        <v>802</v>
      </c>
      <c r="B102" s="4" t="s">
        <v>803</v>
      </c>
      <c r="C102" s="3">
        <v>458</v>
      </c>
      <c r="D102" s="3">
        <v>12</v>
      </c>
      <c r="E102" s="4" t="s">
        <v>804</v>
      </c>
      <c r="F102" s="4" t="s">
        <v>29</v>
      </c>
      <c r="G102" s="3">
        <v>269.5</v>
      </c>
      <c r="H102" s="3">
        <f>MROUND(G102*1.03, 0.5)</f>
      </c>
    </row>
    <row r="103" ht="18.75" customHeight="1" spans="1:8" x14ac:dyDescent="0.25">
      <c r="A103" s="4" t="s">
        <v>805</v>
      </c>
      <c r="B103" s="4" t="s">
        <v>806</v>
      </c>
      <c r="C103" s="3">
        <v>2641</v>
      </c>
      <c r="D103" s="3">
        <v>12</v>
      </c>
      <c r="E103" s="4" t="s">
        <v>804</v>
      </c>
      <c r="F103" s="4" t="s">
        <v>29</v>
      </c>
      <c r="G103" s="3">
        <v>222</v>
      </c>
      <c r="H103" s="3">
        <f>MROUND(G103*1.03, 0.5)</f>
      </c>
    </row>
    <row r="104" ht="18.75" customHeight="1" spans="1:8" x14ac:dyDescent="0.25">
      <c r="A104" s="4" t="s">
        <v>807</v>
      </c>
      <c r="B104" s="4" t="s">
        <v>808</v>
      </c>
      <c r="C104" s="3">
        <v>4293</v>
      </c>
      <c r="D104" s="3">
        <v>12</v>
      </c>
      <c r="E104" s="4" t="s">
        <v>804</v>
      </c>
      <c r="F104" s="4" t="s">
        <v>29</v>
      </c>
      <c r="G104" s="3">
        <v>210</v>
      </c>
      <c r="H104" s="3">
        <f>MROUND(G104*1.03, 0.5)</f>
      </c>
    </row>
    <row r="105" ht="18.75" customHeight="1" spans="1:8" x14ac:dyDescent="0.25">
      <c r="A105" s="4" t="s">
        <v>809</v>
      </c>
      <c r="B105" s="4" t="s">
        <v>810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MROUND(G105*1.03, 0.5)</f>
      </c>
    </row>
    <row r="106" ht="18.75" customHeight="1" spans="1:8" x14ac:dyDescent="0.25">
      <c r="A106" s="4" t="s">
        <v>809</v>
      </c>
      <c r="B106" s="4" t="s">
        <v>810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MROUND(G106*1.03, 0.5)</f>
      </c>
    </row>
    <row r="107" ht="18.75" customHeight="1" spans="1:8" x14ac:dyDescent="0.25">
      <c r="A107" s="4" t="s">
        <v>811</v>
      </c>
      <c r="B107" s="4" t="s">
        <v>812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MROUND(G107*1.03, 0.5)</f>
      </c>
    </row>
    <row r="108" ht="18.75" customHeight="1" spans="1:8" x14ac:dyDescent="0.25">
      <c r="A108" s="4" t="s">
        <v>813</v>
      </c>
      <c r="B108" s="4" t="s">
        <v>814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MROUND(G108*1.03, 0.5)</f>
      </c>
    </row>
    <row r="109" ht="18.75" customHeight="1" spans="1:8" x14ac:dyDescent="0.25">
      <c r="A109" s="4" t="s">
        <v>815</v>
      </c>
      <c r="B109" s="4" t="s">
        <v>816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MROUND(G109*1.03, 0.5)</f>
      </c>
    </row>
    <row r="110" ht="18.75" customHeight="1" spans="1:8" x14ac:dyDescent="0.25">
      <c r="A110" s="4" t="s">
        <v>817</v>
      </c>
      <c r="B110" s="4" t="s">
        <v>818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MROUND(G110*1.03, 0.5)</f>
      </c>
    </row>
    <row r="111" ht="18.75" customHeight="1" spans="1:8" x14ac:dyDescent="0.25">
      <c r="A111" s="4" t="s">
        <v>819</v>
      </c>
      <c r="B111" s="4" t="s">
        <v>820</v>
      </c>
      <c r="C111" s="3">
        <v>2646</v>
      </c>
      <c r="D111" s="3">
        <v>12</v>
      </c>
      <c r="E111" s="4" t="s">
        <v>821</v>
      </c>
      <c r="F111" s="4" t="s">
        <v>273</v>
      </c>
      <c r="G111" s="3">
        <v>53</v>
      </c>
      <c r="H111" s="3">
        <f>MROUND(G111*1.03, 0.5)</f>
      </c>
    </row>
    <row r="112" ht="18.75" customHeight="1" spans="1:8" x14ac:dyDescent="0.25">
      <c r="A112" s="4" t="s">
        <v>819</v>
      </c>
      <c r="B112" s="4" t="s">
        <v>820</v>
      </c>
      <c r="C112" s="3">
        <v>2645</v>
      </c>
      <c r="D112" s="3">
        <v>6</v>
      </c>
      <c r="E112" s="4" t="s">
        <v>822</v>
      </c>
      <c r="F112" s="4" t="s">
        <v>273</v>
      </c>
      <c r="G112" s="3">
        <v>81.5</v>
      </c>
      <c r="H112" s="3">
        <f>MROUND(G112*1.03, 0.5)</f>
      </c>
    </row>
    <row r="113" ht="18.75" customHeight="1" spans="1:8" x14ac:dyDescent="0.25">
      <c r="A113" s="4" t="s">
        <v>819</v>
      </c>
      <c r="B113" s="4" t="s">
        <v>820</v>
      </c>
      <c r="C113" s="3">
        <v>2638</v>
      </c>
      <c r="D113" s="3">
        <v>9</v>
      </c>
      <c r="E113" s="4" t="s">
        <v>823</v>
      </c>
      <c r="F113" s="4" t="s">
        <v>273</v>
      </c>
      <c r="G113" s="3">
        <v>70</v>
      </c>
      <c r="H113" s="3">
        <f>MROUND(G113*1.03, 0.5)</f>
      </c>
    </row>
    <row r="114" ht="18.75" customHeight="1" spans="1:8" x14ac:dyDescent="0.25">
      <c r="A114" s="4" t="s">
        <v>824</v>
      </c>
      <c r="B114" s="4" t="s">
        <v>825</v>
      </c>
      <c r="C114" s="3">
        <v>4294</v>
      </c>
      <c r="D114" s="3">
        <v>18</v>
      </c>
      <c r="E114" s="4" t="s">
        <v>826</v>
      </c>
      <c r="F114" s="4" t="s">
        <v>273</v>
      </c>
      <c r="G114" s="3">
        <v>150</v>
      </c>
      <c r="H114" s="3">
        <f>MROUND(G114*1.03, 0.5)</f>
      </c>
    </row>
    <row r="115" ht="18.75" customHeight="1" spans="1:8" x14ac:dyDescent="0.25">
      <c r="A115" s="4" t="s">
        <v>827</v>
      </c>
      <c r="B115" s="4" t="s">
        <v>828</v>
      </c>
      <c r="C115" s="3">
        <v>4314</v>
      </c>
      <c r="D115" s="3">
        <v>15</v>
      </c>
      <c r="E115" s="4" t="s">
        <v>585</v>
      </c>
      <c r="F115" s="4" t="s">
        <v>29</v>
      </c>
      <c r="G115" s="3">
        <v>252</v>
      </c>
      <c r="H115" s="3">
        <f>MROUND(G115*1.03, 0.5)</f>
      </c>
    </row>
    <row r="116" ht="18.75" customHeight="1" spans="1:8" x14ac:dyDescent="0.25">
      <c r="A116" s="4" t="s">
        <v>829</v>
      </c>
      <c r="B116" s="4" t="s">
        <v>830</v>
      </c>
      <c r="C116" s="3">
        <v>4315</v>
      </c>
      <c r="D116" s="3">
        <v>15</v>
      </c>
      <c r="E116" s="4" t="s">
        <v>831</v>
      </c>
      <c r="F116" s="4" t="s">
        <v>29</v>
      </c>
      <c r="G116" s="3">
        <v>450</v>
      </c>
      <c r="H116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832</v>
      </c>
      <c r="B2" s="4" t="s">
        <v>833</v>
      </c>
      <c r="C2" s="3">
        <v>3402</v>
      </c>
      <c r="D2" s="3">
        <v>6</v>
      </c>
      <c r="E2" s="4" t="s">
        <v>834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832</v>
      </c>
      <c r="B3" s="4" t="s">
        <v>833</v>
      </c>
      <c r="C3" s="3">
        <v>3401</v>
      </c>
      <c r="D3" s="3">
        <v>6</v>
      </c>
      <c r="E3" s="4" t="s">
        <v>835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832</v>
      </c>
      <c r="B4" s="4" t="s">
        <v>833</v>
      </c>
      <c r="C4" s="3">
        <v>3403</v>
      </c>
      <c r="D4" s="3">
        <v>12</v>
      </c>
      <c r="E4" s="4" t="s">
        <v>836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837</v>
      </c>
      <c r="B5" s="4" t="s">
        <v>838</v>
      </c>
      <c r="C5" s="3">
        <v>4032</v>
      </c>
      <c r="D5" s="3">
        <v>12</v>
      </c>
      <c r="E5" s="4" t="s">
        <v>839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840</v>
      </c>
      <c r="B6" s="4" t="s">
        <v>841</v>
      </c>
      <c r="C6" s="3">
        <v>4460</v>
      </c>
      <c r="D6" s="3">
        <v>12</v>
      </c>
      <c r="E6" s="4" t="s">
        <v>839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842</v>
      </c>
      <c r="B7" s="4" t="s">
        <v>843</v>
      </c>
      <c r="C7" s="3">
        <v>4260</v>
      </c>
      <c r="D7" s="3">
        <v>12</v>
      </c>
      <c r="E7" s="4" t="s">
        <v>844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845</v>
      </c>
      <c r="B8" s="4" t="s">
        <v>846</v>
      </c>
      <c r="C8" s="3">
        <v>2551</v>
      </c>
      <c r="D8" s="3">
        <v>12</v>
      </c>
      <c r="E8" s="4" t="s">
        <v>834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847</v>
      </c>
      <c r="B9" s="4" t="s">
        <v>848</v>
      </c>
      <c r="C9" s="3">
        <v>2550</v>
      </c>
      <c r="D9" s="3">
        <v>6</v>
      </c>
      <c r="E9" s="4" t="s">
        <v>849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850</v>
      </c>
      <c r="B10" s="4" t="s">
        <v>851</v>
      </c>
      <c r="C10" s="3">
        <v>4383</v>
      </c>
      <c r="D10" s="3">
        <v>12</v>
      </c>
      <c r="E10" s="4" t="s">
        <v>839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852</v>
      </c>
      <c r="B2" s="4" t="s">
        <v>853</v>
      </c>
      <c r="C2" s="3">
        <v>3644</v>
      </c>
      <c r="D2" s="3">
        <v>12</v>
      </c>
      <c r="E2" s="4" t="s">
        <v>834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852</v>
      </c>
      <c r="B3" s="4" t="s">
        <v>853</v>
      </c>
      <c r="C3" s="3">
        <v>3644</v>
      </c>
      <c r="D3" s="3">
        <v>12</v>
      </c>
      <c r="E3" s="4" t="s">
        <v>804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852</v>
      </c>
      <c r="B4" s="4" t="s">
        <v>853</v>
      </c>
      <c r="C4" s="3">
        <v>3641</v>
      </c>
      <c r="D4" s="3">
        <v>24</v>
      </c>
      <c r="E4" s="4" t="s">
        <v>836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852</v>
      </c>
      <c r="B5" s="4" t="s">
        <v>853</v>
      </c>
      <c r="C5" s="3">
        <v>3645</v>
      </c>
      <c r="D5" s="3">
        <v>6</v>
      </c>
      <c r="E5" s="4" t="s">
        <v>854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855</v>
      </c>
      <c r="B6" s="4" t="s">
        <v>856</v>
      </c>
      <c r="C6" s="3">
        <v>3852</v>
      </c>
      <c r="D6" s="3">
        <v>12</v>
      </c>
      <c r="E6" s="4" t="s">
        <v>804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855</v>
      </c>
      <c r="B7" s="4" t="s">
        <v>856</v>
      </c>
      <c r="C7" s="3">
        <v>3647</v>
      </c>
      <c r="D7" s="3">
        <v>24</v>
      </c>
      <c r="E7" s="4" t="s">
        <v>836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855</v>
      </c>
      <c r="B8" s="4" t="s">
        <v>856</v>
      </c>
      <c r="C8" s="3">
        <v>3648</v>
      </c>
      <c r="D8" s="3">
        <v>6</v>
      </c>
      <c r="E8" s="4" t="s">
        <v>857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858</v>
      </c>
      <c r="B2" s="4" t="s">
        <v>859</v>
      </c>
      <c r="C2" s="3">
        <v>3056</v>
      </c>
      <c r="D2" s="3">
        <v>10</v>
      </c>
      <c r="E2" s="4" t="s">
        <v>270</v>
      </c>
      <c r="F2" s="4" t="s">
        <v>273</v>
      </c>
      <c r="G2" s="3">
        <v>56</v>
      </c>
      <c r="H2" s="3">
        <f>MROUND(G2*1.03, 0.5)</f>
      </c>
    </row>
    <row r="3" ht="18.75" customHeight="1" spans="1:8" x14ac:dyDescent="0.25">
      <c r="A3" s="4" t="s">
        <v>858</v>
      </c>
      <c r="B3" s="4" t="s">
        <v>859</v>
      </c>
      <c r="C3" s="3">
        <v>3083</v>
      </c>
      <c r="D3" s="3">
        <v>20</v>
      </c>
      <c r="E3" s="4" t="s">
        <v>585</v>
      </c>
      <c r="F3" s="4" t="s">
        <v>273</v>
      </c>
      <c r="G3" s="3">
        <v>57</v>
      </c>
      <c r="H3" s="3">
        <f>MROUND(G3*1.03, 0.5)</f>
      </c>
    </row>
    <row r="4" ht="18.75" customHeight="1" spans="1:8" x14ac:dyDescent="0.25">
      <c r="A4" s="4" t="s">
        <v>858</v>
      </c>
      <c r="B4" s="4" t="s">
        <v>859</v>
      </c>
      <c r="C4" s="3">
        <v>2264</v>
      </c>
      <c r="D4" s="3">
        <v>10</v>
      </c>
      <c r="E4" s="4" t="s">
        <v>270</v>
      </c>
      <c r="F4" s="4" t="s">
        <v>29</v>
      </c>
      <c r="G4" s="3">
        <v>59</v>
      </c>
      <c r="H4" s="3">
        <f>MROUND(G4*1.03, 0.5)</f>
      </c>
    </row>
    <row r="5" ht="18.75" customHeight="1" spans="1:8" x14ac:dyDescent="0.25">
      <c r="A5" s="4" t="s">
        <v>858</v>
      </c>
      <c r="B5" s="4" t="s">
        <v>859</v>
      </c>
      <c r="C5" s="3">
        <v>2355</v>
      </c>
      <c r="D5" s="3">
        <v>20</v>
      </c>
      <c r="E5" s="4" t="s">
        <v>585</v>
      </c>
      <c r="F5" s="4" t="s">
        <v>29</v>
      </c>
      <c r="G5" s="3">
        <v>60</v>
      </c>
      <c r="H5" s="3">
        <f>MROUND(G5*1.03, 0.5)</f>
      </c>
    </row>
    <row r="6" ht="18.75" customHeight="1" spans="1:8" x14ac:dyDescent="0.25">
      <c r="A6" s="4" t="s">
        <v>860</v>
      </c>
      <c r="B6" s="4" t="s">
        <v>861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860</v>
      </c>
      <c r="B7" s="4" t="s">
        <v>861</v>
      </c>
      <c r="C7" s="3">
        <v>572</v>
      </c>
      <c r="D7" s="3">
        <v>20</v>
      </c>
      <c r="E7" s="4" t="s">
        <v>585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862</v>
      </c>
      <c r="B8" s="4" t="s">
        <v>863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862</v>
      </c>
      <c r="B9" s="4" t="s">
        <v>863</v>
      </c>
      <c r="C9" s="3">
        <v>4410</v>
      </c>
      <c r="D9" s="3">
        <v>24</v>
      </c>
      <c r="E9" s="4" t="s">
        <v>585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864</v>
      </c>
      <c r="B2" s="4" t="s">
        <v>865</v>
      </c>
      <c r="C2" s="3">
        <v>4044</v>
      </c>
      <c r="D2" s="3">
        <v>500</v>
      </c>
      <c r="E2" s="4" t="s">
        <v>866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867</v>
      </c>
      <c r="B3" s="4" t="s">
        <v>868</v>
      </c>
      <c r="C3" s="3">
        <v>4672</v>
      </c>
      <c r="D3" s="3">
        <v>500</v>
      </c>
      <c r="E3" s="4" t="s">
        <v>866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869</v>
      </c>
      <c r="B4" s="4" t="s">
        <v>870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871</v>
      </c>
      <c r="B5" s="4" t="s">
        <v>872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873</v>
      </c>
      <c r="B6" s="4" t="s">
        <v>874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875</v>
      </c>
      <c r="B7" s="4" t="s">
        <v>876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877</v>
      </c>
      <c r="B8" s="4" t="s">
        <v>878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879</v>
      </c>
      <c r="B9" s="4" t="s">
        <v>880</v>
      </c>
      <c r="C9" s="3">
        <v>3870</v>
      </c>
      <c r="D9" s="3">
        <v>500</v>
      </c>
      <c r="E9" s="4" t="s">
        <v>866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881</v>
      </c>
      <c r="B10" s="4" t="s">
        <v>882</v>
      </c>
      <c r="C10" s="3">
        <v>3701</v>
      </c>
      <c r="D10" s="3">
        <v>500</v>
      </c>
      <c r="E10" s="4" t="s">
        <v>866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883</v>
      </c>
      <c r="B11" s="4" t="s">
        <v>884</v>
      </c>
      <c r="C11" s="3">
        <v>3800</v>
      </c>
      <c r="D11" s="3">
        <v>500</v>
      </c>
      <c r="E11" s="4" t="s">
        <v>866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885</v>
      </c>
      <c r="B12" s="4" t="s">
        <v>886</v>
      </c>
      <c r="C12" s="3">
        <v>3725</v>
      </c>
      <c r="D12" s="3">
        <v>500</v>
      </c>
      <c r="E12" s="4" t="s">
        <v>866</v>
      </c>
      <c r="F12" s="4" t="s">
        <v>12</v>
      </c>
      <c r="G12" s="3">
        <v>22</v>
      </c>
      <c r="H12" s="3">
        <f>MROUND(G12*1.03, 0.5)</f>
      </c>
    </row>
    <row r="13" ht="18.75" customHeight="1" spans="1:8" x14ac:dyDescent="0.25">
      <c r="A13" s="4" t="s">
        <v>887</v>
      </c>
      <c r="B13" s="4" t="s">
        <v>888</v>
      </c>
      <c r="C13" s="3">
        <v>3871</v>
      </c>
      <c r="D13" s="3">
        <v>500</v>
      </c>
      <c r="E13" s="4" t="s">
        <v>866</v>
      </c>
      <c r="F13" s="4" t="s">
        <v>12</v>
      </c>
      <c r="G13" s="3">
        <v>27</v>
      </c>
      <c r="H13" s="3">
        <f>MROUND(G13*1.03, 0.5)</f>
      </c>
    </row>
    <row r="14" ht="18.75" customHeight="1" spans="1:8" x14ac:dyDescent="0.25">
      <c r="A14" s="4" t="s">
        <v>889</v>
      </c>
      <c r="B14" s="4" t="s">
        <v>890</v>
      </c>
      <c r="C14" s="3">
        <v>2825</v>
      </c>
      <c r="D14" s="3">
        <v>2</v>
      </c>
      <c r="E14" s="4" t="s">
        <v>10</v>
      </c>
      <c r="F14" s="4" t="s">
        <v>12</v>
      </c>
      <c r="G14" s="3">
        <v>25</v>
      </c>
      <c r="H14" s="3">
        <f>MROUND(G14*1.03, 0.5)</f>
      </c>
    </row>
    <row r="15" ht="18.75" customHeight="1" spans="1:8" x14ac:dyDescent="0.25">
      <c r="A15" s="4" t="s">
        <v>891</v>
      </c>
      <c r="B15" s="4" t="s">
        <v>892</v>
      </c>
      <c r="C15" s="3">
        <v>2828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893</v>
      </c>
      <c r="B16" s="4" t="s">
        <v>894</v>
      </c>
      <c r="C16" s="3">
        <v>2826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895</v>
      </c>
      <c r="B17" s="4" t="s">
        <v>896</v>
      </c>
      <c r="C17" s="3">
        <v>3058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897</v>
      </c>
      <c r="B18" s="4" t="s">
        <v>898</v>
      </c>
      <c r="C18" s="3">
        <v>3059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899</v>
      </c>
      <c r="B19" s="4" t="s">
        <v>900</v>
      </c>
      <c r="C19" s="3">
        <v>2829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901</v>
      </c>
      <c r="B20" s="4" t="s">
        <v>902</v>
      </c>
      <c r="C20" s="3">
        <v>4126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903</v>
      </c>
      <c r="B21" s="4" t="s">
        <v>904</v>
      </c>
      <c r="C21" s="3">
        <v>2827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905</v>
      </c>
      <c r="B22" s="4" t="s">
        <v>906</v>
      </c>
      <c r="C22" s="3">
        <v>3801</v>
      </c>
      <c r="D22" s="3">
        <v>500</v>
      </c>
      <c r="E22" s="4" t="s">
        <v>866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907</v>
      </c>
      <c r="B23" s="4" t="s">
        <v>908</v>
      </c>
      <c r="C23" s="3">
        <v>3833</v>
      </c>
      <c r="D23" s="3">
        <v>500</v>
      </c>
      <c r="E23" s="4" t="s">
        <v>866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909</v>
      </c>
      <c r="B24" s="4" t="s">
        <v>910</v>
      </c>
      <c r="C24" s="3">
        <v>3897</v>
      </c>
      <c r="D24" s="3">
        <v>2</v>
      </c>
      <c r="E24" s="4" t="s">
        <v>10</v>
      </c>
      <c r="F24" s="4" t="s">
        <v>29</v>
      </c>
      <c r="G24" s="3">
        <v>60</v>
      </c>
      <c r="H24" s="3">
        <f>MROUND(G24*1.03, 0.5)</f>
      </c>
    </row>
    <row r="25" ht="18.75" customHeight="1" spans="1:8" x14ac:dyDescent="0.25">
      <c r="A25" s="4" t="s">
        <v>911</v>
      </c>
      <c r="B25" s="4" t="s">
        <v>912</v>
      </c>
      <c r="C25" s="3">
        <v>3764</v>
      </c>
      <c r="D25" s="3">
        <v>2</v>
      </c>
      <c r="E25" s="4" t="s">
        <v>10</v>
      </c>
      <c r="F25" s="4" t="s">
        <v>12</v>
      </c>
      <c r="G25" s="3">
        <v>81</v>
      </c>
      <c r="H25" s="3">
        <f>MROUND(G25*1.03,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913</v>
      </c>
      <c r="B4" s="4" t="s">
        <v>914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913</v>
      </c>
      <c r="B5" s="4" t="s">
        <v>914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915</v>
      </c>
      <c r="B6" s="4" t="s">
        <v>916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915</v>
      </c>
      <c r="B7" s="4" t="s">
        <v>916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917</v>
      </c>
      <c r="B8" s="4" t="s">
        <v>918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917</v>
      </c>
      <c r="B9" s="4" t="s">
        <v>918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919</v>
      </c>
      <c r="B10" s="4" t="s">
        <v>920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921</v>
      </c>
      <c r="B13" s="4" t="s">
        <v>922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921</v>
      </c>
      <c r="B14" s="4" t="s">
        <v>922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923</v>
      </c>
      <c r="B15" s="4" t="s">
        <v>924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923</v>
      </c>
      <c r="B16" s="4" t="s">
        <v>924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925</v>
      </c>
      <c r="B17" s="4" t="s">
        <v>926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925</v>
      </c>
      <c r="B18" s="4" t="s">
        <v>926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927</v>
      </c>
      <c r="B19" s="4" t="s">
        <v>928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927</v>
      </c>
      <c r="B20" s="4" t="s">
        <v>928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929</v>
      </c>
      <c r="B21" s="4" t="s">
        <v>930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929</v>
      </c>
      <c r="B22" s="4" t="s">
        <v>930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931</v>
      </c>
      <c r="B23" s="4" t="s">
        <v>932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931</v>
      </c>
      <c r="B24" s="4" t="s">
        <v>932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933</v>
      </c>
      <c r="B25" s="4" t="s">
        <v>934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933</v>
      </c>
      <c r="B26" s="4" t="s">
        <v>934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935</v>
      </c>
      <c r="B31" s="4" t="s">
        <v>936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937</v>
      </c>
      <c r="B32" s="4" t="s">
        <v>938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939</v>
      </c>
      <c r="B33" s="4" t="s">
        <v>940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941</v>
      </c>
      <c r="B34" s="4" t="s">
        <v>942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943</v>
      </c>
      <c r="B35" s="4" t="s">
        <v>944</v>
      </c>
      <c r="C35" s="3">
        <v>4476</v>
      </c>
      <c r="D35" s="3">
        <v>1</v>
      </c>
      <c r="E35" s="4" t="s">
        <v>10</v>
      </c>
      <c r="F35" s="4" t="s">
        <v>784</v>
      </c>
      <c r="G35" s="3">
        <v>33.5</v>
      </c>
      <c r="H35" s="3">
        <f>MROUND(G35*1.03, 0.5)</f>
      </c>
    </row>
    <row r="36" ht="18.75" customHeight="1" spans="1:8" x14ac:dyDescent="0.25">
      <c r="A36" s="4" t="s">
        <v>945</v>
      </c>
      <c r="B36" s="4" t="s">
        <v>946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947</v>
      </c>
      <c r="B37" s="4" t="s">
        <v>948</v>
      </c>
      <c r="C37" s="3">
        <v>4456</v>
      </c>
      <c r="D37" s="3">
        <v>10</v>
      </c>
      <c r="E37" s="4" t="s">
        <v>585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949</v>
      </c>
      <c r="B38" s="4" t="s">
        <v>950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951</v>
      </c>
      <c r="B39" s="4" t="s">
        <v>952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951</v>
      </c>
      <c r="B40" s="4" t="s">
        <v>952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953</v>
      </c>
      <c r="B41" s="4" t="s">
        <v>954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953</v>
      </c>
      <c r="B42" s="4" t="s">
        <v>954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955</v>
      </c>
      <c r="B43" s="4" t="s">
        <v>956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957</v>
      </c>
      <c r="B44" s="4" t="s">
        <v>958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959</v>
      </c>
      <c r="B45" s="4" t="s">
        <v>960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959</v>
      </c>
      <c r="B46" s="4" t="s">
        <v>960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961</v>
      </c>
      <c r="B47" s="4" t="s">
        <v>962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963</v>
      </c>
      <c r="B48" s="4" t="s">
        <v>964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965</v>
      </c>
      <c r="B49" s="4" t="s">
        <v>966</v>
      </c>
      <c r="C49" s="3">
        <v>4074</v>
      </c>
      <c r="D49" s="3">
        <v>1</v>
      </c>
      <c r="E49" s="4" t="s">
        <v>967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968</v>
      </c>
      <c r="B50" s="4" t="s">
        <v>969</v>
      </c>
      <c r="C50" s="3">
        <v>4076</v>
      </c>
      <c r="D50" s="3">
        <v>1</v>
      </c>
      <c r="E50" s="4" t="s">
        <v>970</v>
      </c>
      <c r="F50" s="4" t="s">
        <v>971</v>
      </c>
      <c r="G50" s="3">
        <v>32.5</v>
      </c>
      <c r="H50" s="3">
        <f>MROUND(G50*1.03, 0.5)</f>
      </c>
    </row>
    <row r="51" ht="18.75" customHeight="1" spans="1:8" x14ac:dyDescent="0.25">
      <c r="A51" s="4" t="s">
        <v>972</v>
      </c>
      <c r="B51" s="4" t="s">
        <v>973</v>
      </c>
      <c r="C51" s="3">
        <v>4133</v>
      </c>
      <c r="D51" s="3">
        <v>10</v>
      </c>
      <c r="E51" s="4" t="s">
        <v>585</v>
      </c>
      <c r="F51" s="4" t="s">
        <v>971</v>
      </c>
      <c r="G51" s="3">
        <v>72</v>
      </c>
      <c r="H51" s="3">
        <f>MROUND(G51*1.03, 0.5)</f>
      </c>
    </row>
    <row r="52" ht="19.5" customHeight="1" spans="1:8" x14ac:dyDescent="0.25">
      <c r="A52" s="4" t="s">
        <v>974</v>
      </c>
      <c r="B52" s="4" t="s">
        <v>975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974</v>
      </c>
      <c r="B53" s="4" t="s">
        <v>975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976</v>
      </c>
      <c r="B54" s="4" t="s">
        <v>977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978</v>
      </c>
      <c r="B55" s="4" t="s">
        <v>979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978</v>
      </c>
      <c r="B56" s="4" t="s">
        <v>979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980</v>
      </c>
      <c r="B57" s="4" t="s">
        <v>981</v>
      </c>
      <c r="C57" s="3">
        <v>4559</v>
      </c>
      <c r="D57" s="3">
        <v>12</v>
      </c>
      <c r="E57" s="4" t="s">
        <v>585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982</v>
      </c>
      <c r="B58" s="4" t="s">
        <v>983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984</v>
      </c>
      <c r="B59" s="4" t="s">
        <v>985</v>
      </c>
      <c r="C59" s="3">
        <v>4102</v>
      </c>
      <c r="D59" s="3">
        <v>10</v>
      </c>
      <c r="E59" s="4" t="s">
        <v>986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987</v>
      </c>
      <c r="B60" s="4" t="s">
        <v>988</v>
      </c>
      <c r="C60" s="3">
        <v>4103</v>
      </c>
      <c r="D60" s="3">
        <v>10</v>
      </c>
      <c r="E60" s="4" t="s">
        <v>986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989</v>
      </c>
      <c r="B61" s="4" t="s">
        <v>990</v>
      </c>
      <c r="C61" s="3">
        <v>4624</v>
      </c>
      <c r="D61" s="3">
        <v>21</v>
      </c>
      <c r="E61" s="4" t="s">
        <v>991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992</v>
      </c>
      <c r="B62" s="4" t="s">
        <v>993</v>
      </c>
      <c r="C62" s="3">
        <v>4627</v>
      </c>
      <c r="D62" s="3">
        <v>25</v>
      </c>
      <c r="E62" s="4" t="s">
        <v>994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995</v>
      </c>
      <c r="B63" s="4" t="s">
        <v>996</v>
      </c>
      <c r="C63" s="3">
        <v>4628</v>
      </c>
      <c r="D63" s="3">
        <v>15</v>
      </c>
      <c r="E63" s="4" t="s">
        <v>997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998</v>
      </c>
      <c r="B64" s="4" t="s">
        <v>999</v>
      </c>
      <c r="C64" s="3">
        <v>4625</v>
      </c>
      <c r="D64" s="3">
        <v>21</v>
      </c>
      <c r="E64" s="4" t="s">
        <v>991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1000</v>
      </c>
      <c r="B65" s="4" t="s">
        <v>1001</v>
      </c>
      <c r="C65" s="3">
        <v>4626</v>
      </c>
      <c r="D65" s="3">
        <v>21</v>
      </c>
      <c r="E65" s="4" t="s">
        <v>991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1002</v>
      </c>
      <c r="B66" s="4" t="s">
        <v>1003</v>
      </c>
      <c r="C66" s="3">
        <v>4699</v>
      </c>
      <c r="D66" s="3">
        <v>50</v>
      </c>
      <c r="E66" s="4" t="s">
        <v>1004</v>
      </c>
      <c r="F66" s="4" t="s">
        <v>273</v>
      </c>
      <c r="G66" s="3">
        <v>30</v>
      </c>
      <c r="H66" s="3">
        <f>MROUND(G66*1.03, 0.5)</f>
      </c>
    </row>
    <row r="67" ht="19.5" customHeight="1" spans="1:8" x14ac:dyDescent="0.25">
      <c r="A67" s="4" t="s">
        <v>1005</v>
      </c>
      <c r="B67" s="4" t="s">
        <v>1006</v>
      </c>
      <c r="C67" s="3">
        <v>4643</v>
      </c>
      <c r="D67" s="3">
        <v>6</v>
      </c>
      <c r="E67" s="4" t="s">
        <v>986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1007</v>
      </c>
      <c r="B68" s="4" t="s">
        <v>1008</v>
      </c>
      <c r="C68" s="3">
        <v>4687</v>
      </c>
      <c r="D68" s="3">
        <v>6</v>
      </c>
      <c r="E68" s="4" t="s">
        <v>986</v>
      </c>
      <c r="F68" s="4" t="s">
        <v>29</v>
      </c>
      <c r="G68" s="3">
        <v>64</v>
      </c>
      <c r="H68" s="3">
        <f>MROUND(G68*1.03, 0.5)</f>
      </c>
    </row>
    <row r="69" ht="19.5" customHeight="1" spans="1:8" x14ac:dyDescent="0.25">
      <c r="A69" s="4" t="s">
        <v>1009</v>
      </c>
      <c r="B69" s="4" t="s">
        <v>1010</v>
      </c>
      <c r="C69" s="3">
        <v>4644</v>
      </c>
      <c r="D69" s="3">
        <v>6</v>
      </c>
      <c r="E69" s="4" t="s">
        <v>986</v>
      </c>
      <c r="F69" s="4" t="s">
        <v>29</v>
      </c>
      <c r="G69" s="3">
        <v>57</v>
      </c>
      <c r="H69" s="3">
        <f>MROUND(G69*1.03, 0.5)</f>
      </c>
    </row>
    <row r="70" ht="19.5" customHeight="1" spans="1:8" x14ac:dyDescent="0.25">
      <c r="A70" s="4" t="s">
        <v>1011</v>
      </c>
      <c r="B70" s="4" t="s">
        <v>1012</v>
      </c>
      <c r="C70" s="3">
        <v>4547</v>
      </c>
      <c r="D70" s="3">
        <v>10</v>
      </c>
      <c r="E70" s="4" t="s">
        <v>986</v>
      </c>
      <c r="F70" s="4" t="s">
        <v>273</v>
      </c>
      <c r="G70" s="3">
        <v>77</v>
      </c>
      <c r="H70" s="3">
        <f>MROUND(G70*1.03, 0.5)</f>
      </c>
    </row>
    <row r="71" ht="19.5" customHeight="1" spans="1:8" x14ac:dyDescent="0.25">
      <c r="A71" s="4" t="s">
        <v>1013</v>
      </c>
      <c r="B71" s="4" t="s">
        <v>1014</v>
      </c>
      <c r="C71" s="3">
        <v>4104</v>
      </c>
      <c r="D71" s="3">
        <v>10</v>
      </c>
      <c r="E71" s="4" t="s">
        <v>986</v>
      </c>
      <c r="F71" s="4" t="s">
        <v>273</v>
      </c>
      <c r="G71" s="3">
        <v>77</v>
      </c>
      <c r="H71" s="3">
        <f>MROUND(G71*1.03, 0.5)</f>
      </c>
    </row>
    <row r="72" ht="19.5" customHeight="1" spans="1:8" x14ac:dyDescent="0.25">
      <c r="A72" s="4" t="s">
        <v>1015</v>
      </c>
      <c r="B72" s="4" t="s">
        <v>1016</v>
      </c>
      <c r="C72" s="3">
        <v>4101</v>
      </c>
      <c r="D72" s="3">
        <v>10</v>
      </c>
      <c r="E72" s="4" t="s">
        <v>986</v>
      </c>
      <c r="F72" s="4" t="s">
        <v>273</v>
      </c>
      <c r="G72" s="3">
        <v>77</v>
      </c>
      <c r="H72" s="3">
        <f>MROUND(G72*1.03, 0.5)</f>
      </c>
    </row>
    <row r="73" ht="19.5" customHeight="1" spans="1:8" x14ac:dyDescent="0.25">
      <c r="A73" s="4" t="s">
        <v>1017</v>
      </c>
      <c r="B73" s="4" t="s">
        <v>1018</v>
      </c>
      <c r="C73" s="3">
        <v>4641</v>
      </c>
      <c r="D73" s="3">
        <v>6</v>
      </c>
      <c r="E73" s="4" t="s">
        <v>986</v>
      </c>
      <c r="F73" s="4" t="s">
        <v>12</v>
      </c>
      <c r="G73" s="3">
        <v>72</v>
      </c>
      <c r="H73" s="3">
        <f>MROUND(G73*1.03, 0.5)</f>
      </c>
    </row>
    <row r="74" ht="19.5" customHeight="1" spans="1:8" x14ac:dyDescent="0.25">
      <c r="A74" s="4" t="s">
        <v>1017</v>
      </c>
      <c r="B74" s="4" t="s">
        <v>1018</v>
      </c>
      <c r="C74" s="3">
        <v>4583</v>
      </c>
      <c r="D74" s="3">
        <v>12</v>
      </c>
      <c r="E74" s="4" t="s">
        <v>986</v>
      </c>
      <c r="F74" s="4" t="s">
        <v>29</v>
      </c>
      <c r="G74" s="3">
        <v>144</v>
      </c>
      <c r="H74" s="3">
        <f>MROUND(G74*1.03, 0.5)</f>
      </c>
    </row>
    <row r="75" ht="19.5" customHeight="1" spans="1:8" x14ac:dyDescent="0.25">
      <c r="A75" s="4" t="s">
        <v>1019</v>
      </c>
      <c r="B75" s="4" t="s">
        <v>1020</v>
      </c>
      <c r="C75" s="3">
        <v>4105</v>
      </c>
      <c r="D75" s="3">
        <v>10</v>
      </c>
      <c r="E75" s="4" t="s">
        <v>986</v>
      </c>
      <c r="F75" s="4" t="s">
        <v>273</v>
      </c>
      <c r="G75" s="3">
        <v>77</v>
      </c>
      <c r="H75" s="3">
        <f>MROUND(G75*1.03, 0.5)</f>
      </c>
    </row>
    <row r="76" ht="19.5" customHeight="1" spans="1:8" x14ac:dyDescent="0.25">
      <c r="A76" s="4" t="s">
        <v>1021</v>
      </c>
      <c r="B76" s="4" t="s">
        <v>1022</v>
      </c>
      <c r="C76" s="3">
        <v>3705</v>
      </c>
      <c r="D76" s="3">
        <v>12</v>
      </c>
      <c r="E76" s="4" t="s">
        <v>1023</v>
      </c>
      <c r="F76" s="4" t="s">
        <v>273</v>
      </c>
      <c r="G76" s="3">
        <v>123.5</v>
      </c>
      <c r="H76" s="3">
        <f>MROUND(G76*1.03, 0.5)</f>
      </c>
    </row>
    <row r="77" ht="19.5" customHeight="1" spans="1:8" x14ac:dyDescent="0.25">
      <c r="A77" s="4" t="s">
        <v>1024</v>
      </c>
      <c r="B77" s="4" t="s">
        <v>1025</v>
      </c>
      <c r="C77" s="3">
        <v>3823</v>
      </c>
      <c r="D77" s="3">
        <v>10</v>
      </c>
      <c r="E77" s="4" t="s">
        <v>986</v>
      </c>
      <c r="F77" s="4" t="s">
        <v>29</v>
      </c>
      <c r="G77" s="3">
        <v>77</v>
      </c>
      <c r="H77" s="3">
        <f>MROUND(G77*1.03, 0.5)</f>
      </c>
    </row>
    <row r="78" ht="19.5" customHeight="1" spans="1:8" x14ac:dyDescent="0.25">
      <c r="A78" s="4" t="s">
        <v>1026</v>
      </c>
      <c r="B78" s="4" t="s">
        <v>1027</v>
      </c>
      <c r="C78" s="3">
        <v>4308</v>
      </c>
      <c r="D78" s="3">
        <v>20</v>
      </c>
      <c r="E78" s="4" t="s">
        <v>1028</v>
      </c>
      <c r="F78" s="4" t="s">
        <v>12</v>
      </c>
      <c r="G78" s="3">
        <v>68.5</v>
      </c>
      <c r="H78" s="3">
        <f>MROUND(G78*1.03, 0.5)</f>
      </c>
    </row>
    <row r="79" ht="18.75" customHeight="1" spans="1:8" x14ac:dyDescent="0.25">
      <c r="A79" s="4" t="s">
        <v>1029</v>
      </c>
      <c r="B79" s="4" t="s">
        <v>1030</v>
      </c>
      <c r="C79" s="3">
        <v>4309</v>
      </c>
      <c r="D79" s="3">
        <v>10</v>
      </c>
      <c r="E79" s="4" t="s">
        <v>1031</v>
      </c>
      <c r="F79" s="4" t="s">
        <v>971</v>
      </c>
      <c r="G79" s="3">
        <v>68.5</v>
      </c>
      <c r="H79" s="3">
        <f>MROUND(G79*1.03, 0.5)</f>
      </c>
    </row>
    <row r="80" ht="18.75" customHeight="1" spans="1:8" x14ac:dyDescent="0.25">
      <c r="A80" s="4" t="s">
        <v>1032</v>
      </c>
      <c r="B80" s="4" t="s">
        <v>1033</v>
      </c>
      <c r="C80" s="3">
        <v>4635</v>
      </c>
      <c r="D80" s="3">
        <v>10</v>
      </c>
      <c r="E80" s="4" t="s">
        <v>1034</v>
      </c>
      <c r="F80" s="4" t="s">
        <v>971</v>
      </c>
      <c r="G80" s="3">
        <v>177</v>
      </c>
      <c r="H80" s="3">
        <f>MROUND(G80*1.03, 0.5)</f>
      </c>
    </row>
    <row r="81" ht="18.75" customHeight="1" spans="1:8" x14ac:dyDescent="0.25">
      <c r="A81" s="4" t="s">
        <v>1035</v>
      </c>
      <c r="B81" s="4" t="s">
        <v>1036</v>
      </c>
      <c r="C81" s="3">
        <v>4412</v>
      </c>
      <c r="D81" s="3">
        <v>2.5</v>
      </c>
      <c r="E81" s="4" t="s">
        <v>10</v>
      </c>
      <c r="F81" s="4" t="s">
        <v>971</v>
      </c>
      <c r="G81" s="3">
        <v>75.5</v>
      </c>
      <c r="H81" s="3">
        <f>MROUND(G81*1.03, 0.5)</f>
      </c>
    </row>
    <row r="82" ht="18.75" customHeight="1" spans="1:8" x14ac:dyDescent="0.25">
      <c r="A82" s="4" t="s">
        <v>1037</v>
      </c>
      <c r="B82" s="4" t="s">
        <v>1038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MROUND(G82*1.03, 0.5)</f>
      </c>
    </row>
    <row r="83" ht="18.75" customHeight="1" spans="1:8" x14ac:dyDescent="0.25">
      <c r="A83" s="4" t="s">
        <v>1037</v>
      </c>
      <c r="B83" s="4" t="s">
        <v>1038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MROUND(G83*1.03, 0.5)</f>
      </c>
    </row>
    <row r="84" ht="18.75" customHeight="1" spans="1:8" x14ac:dyDescent="0.25">
      <c r="A84" s="4" t="s">
        <v>1039</v>
      </c>
      <c r="B84" s="4" t="s">
        <v>1040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MROUND(G84*1.03, 0.5)</f>
      </c>
    </row>
    <row r="85" ht="18.75" customHeight="1" spans="1:8" x14ac:dyDescent="0.25">
      <c r="A85" s="4" t="s">
        <v>1039</v>
      </c>
      <c r="B85" s="4" t="s">
        <v>1040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MROUND(G85*1.03, 0.5)</f>
      </c>
    </row>
    <row r="86" ht="18.75" customHeight="1" spans="1:8" x14ac:dyDescent="0.25">
      <c r="A86" s="4" t="s">
        <v>1041</v>
      </c>
      <c r="B86" s="4" t="s">
        <v>1042</v>
      </c>
      <c r="C86" s="3">
        <v>4475</v>
      </c>
      <c r="D86" s="3">
        <v>1</v>
      </c>
      <c r="E86" s="4" t="s">
        <v>1043</v>
      </c>
      <c r="F86" s="4" t="s">
        <v>12</v>
      </c>
      <c r="G86" s="3">
        <v>9</v>
      </c>
      <c r="H86" s="3">
        <f>MROUND(G86*1.03, 0.5)</f>
      </c>
    </row>
    <row r="87" ht="18.75" customHeight="1" spans="1:8" x14ac:dyDescent="0.25">
      <c r="A87" s="4" t="s">
        <v>1044</v>
      </c>
      <c r="B87" s="4" t="s">
        <v>1045</v>
      </c>
      <c r="C87" s="3">
        <v>4354</v>
      </c>
      <c r="D87" s="3">
        <v>12</v>
      </c>
      <c r="E87" s="4" t="s">
        <v>1043</v>
      </c>
      <c r="F87" s="4" t="s">
        <v>784</v>
      </c>
      <c r="G87" s="3">
        <v>79.5</v>
      </c>
      <c r="H87" s="3">
        <f>MROUND(G87*1.03, 0.5)</f>
      </c>
    </row>
    <row r="88" ht="18.75" customHeight="1" spans="1:8" x14ac:dyDescent="0.25">
      <c r="A88" s="4" t="s">
        <v>1046</v>
      </c>
      <c r="B88" s="4" t="s">
        <v>1047</v>
      </c>
      <c r="C88" s="3">
        <v>4445</v>
      </c>
      <c r="D88" s="3">
        <v>12</v>
      </c>
      <c r="E88" s="4" t="s">
        <v>1043</v>
      </c>
      <c r="F88" s="4" t="s">
        <v>29</v>
      </c>
      <c r="G88" s="3">
        <v>79.5</v>
      </c>
      <c r="H88" s="3">
        <f>MROUND(G88*1.03, 0.5)</f>
      </c>
    </row>
    <row r="89" ht="18.75" customHeight="1" spans="1:8" x14ac:dyDescent="0.25">
      <c r="A89" s="4" t="s">
        <v>1048</v>
      </c>
      <c r="B89" s="4" t="s">
        <v>1049</v>
      </c>
      <c r="C89" s="3">
        <v>4353</v>
      </c>
      <c r="D89" s="3">
        <v>12</v>
      </c>
      <c r="E89" s="4" t="s">
        <v>1043</v>
      </c>
      <c r="F89" s="4" t="s">
        <v>29</v>
      </c>
      <c r="G89" s="3">
        <v>79.5</v>
      </c>
      <c r="H89" s="3">
        <f>MROUND(G89*1.03, 0.5)</f>
      </c>
    </row>
    <row r="90" ht="18.75" customHeight="1" spans="1:8" x14ac:dyDescent="0.25">
      <c r="A90" s="4" t="s">
        <v>1050</v>
      </c>
      <c r="B90" s="4" t="s">
        <v>1051</v>
      </c>
      <c r="C90" s="3">
        <v>4350</v>
      </c>
      <c r="D90" s="3">
        <v>12</v>
      </c>
      <c r="E90" s="4" t="s">
        <v>1043</v>
      </c>
      <c r="F90" s="4" t="s">
        <v>29</v>
      </c>
      <c r="G90" s="3">
        <v>79.5</v>
      </c>
      <c r="H90" s="3">
        <f>MROUND(G90*1.03, 0.5)</f>
      </c>
    </row>
    <row r="91" ht="18.75" customHeight="1" spans="1:8" x14ac:dyDescent="0.25">
      <c r="A91" s="4" t="s">
        <v>1052</v>
      </c>
      <c r="B91" s="4" t="s">
        <v>1053</v>
      </c>
      <c r="C91" s="3">
        <v>4352</v>
      </c>
      <c r="D91" s="3">
        <v>12</v>
      </c>
      <c r="E91" s="4" t="s">
        <v>1043</v>
      </c>
      <c r="F91" s="4" t="s">
        <v>29</v>
      </c>
      <c r="G91" s="3">
        <v>79.5</v>
      </c>
      <c r="H91" s="3">
        <f>MROUND(G91*1.03, 0.5)</f>
      </c>
    </row>
    <row r="92" ht="18.75" customHeight="1" spans="1:8" x14ac:dyDescent="0.25">
      <c r="A92" s="4" t="s">
        <v>1054</v>
      </c>
      <c r="B92" s="4" t="s">
        <v>1055</v>
      </c>
      <c r="C92" s="3">
        <v>4349</v>
      </c>
      <c r="D92" s="3">
        <v>12</v>
      </c>
      <c r="E92" s="4" t="s">
        <v>1043</v>
      </c>
      <c r="F92" s="4" t="s">
        <v>29</v>
      </c>
      <c r="G92" s="3">
        <v>79.5</v>
      </c>
      <c r="H92" s="3">
        <f>MROUND(G92*1.03, 0.5)</f>
      </c>
    </row>
    <row r="93" ht="18.75" customHeight="1" spans="1:8" x14ac:dyDescent="0.25">
      <c r="A93" s="4" t="s">
        <v>1056</v>
      </c>
      <c r="B93" s="4" t="s">
        <v>1057</v>
      </c>
      <c r="C93" s="3">
        <v>4351</v>
      </c>
      <c r="D93" s="3">
        <v>12</v>
      </c>
      <c r="E93" s="4" t="s">
        <v>1043</v>
      </c>
      <c r="F93" s="4" t="s">
        <v>29</v>
      </c>
      <c r="G93" s="3">
        <v>79.5</v>
      </c>
      <c r="H93" s="3">
        <f>MROUND(G93*1.03, 0.5)</f>
      </c>
    </row>
    <row r="94" ht="18.75" customHeight="1" spans="1:8" x14ac:dyDescent="0.25">
      <c r="A94" s="4" t="s">
        <v>1058</v>
      </c>
      <c r="B94" s="4" t="s">
        <v>1059</v>
      </c>
      <c r="C94" s="3">
        <v>4581</v>
      </c>
      <c r="D94" s="3">
        <v>12</v>
      </c>
      <c r="E94" s="4" t="s">
        <v>1043</v>
      </c>
      <c r="F94" s="4" t="s">
        <v>29</v>
      </c>
      <c r="G94" s="3">
        <v>79.5</v>
      </c>
      <c r="H94" s="3">
        <f>MROUND(G94*1.03, 0.5)</f>
      </c>
    </row>
    <row r="95" ht="18.75" customHeight="1" spans="1:8" x14ac:dyDescent="0.25">
      <c r="A95" s="4" t="s">
        <v>1060</v>
      </c>
      <c r="B95" s="4" t="s">
        <v>1061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MROUND(G95*1.03, 0.5)</f>
      </c>
    </row>
    <row r="96" ht="18.75" customHeight="1" spans="1:8" x14ac:dyDescent="0.25">
      <c r="A96" s="4" t="s">
        <v>1062</v>
      </c>
      <c r="B96" s="4" t="s">
        <v>1063</v>
      </c>
      <c r="C96" s="3">
        <v>4582</v>
      </c>
      <c r="D96" s="3">
        <v>30</v>
      </c>
      <c r="E96" s="4" t="s">
        <v>1064</v>
      </c>
      <c r="F96" s="4" t="s">
        <v>12</v>
      </c>
      <c r="G96" s="3">
        <v>45</v>
      </c>
      <c r="H96" s="3">
        <f>MROUND(G96*1.03, 0.5)</f>
      </c>
    </row>
    <row r="97" ht="18.75" customHeight="1" spans="1:8" x14ac:dyDescent="0.25">
      <c r="A97" s="4" t="s">
        <v>1065</v>
      </c>
      <c r="B97" s="4" t="s">
        <v>1066</v>
      </c>
      <c r="C97" s="3">
        <v>4123</v>
      </c>
      <c r="D97" s="3">
        <v>10</v>
      </c>
      <c r="E97" s="4" t="s">
        <v>1023</v>
      </c>
      <c r="F97" s="4" t="s">
        <v>12</v>
      </c>
      <c r="G97" s="3">
        <v>60</v>
      </c>
      <c r="H97" s="3">
        <f>MROUND(G97*1.03, 0.5)</f>
      </c>
    </row>
    <row r="98" ht="18.75" customHeight="1" spans="1:8" x14ac:dyDescent="0.25">
      <c r="A98" s="4" t="s">
        <v>1067</v>
      </c>
      <c r="B98" s="4" t="s">
        <v>1068</v>
      </c>
      <c r="C98" s="3">
        <v>4306</v>
      </c>
      <c r="D98" s="3">
        <v>10</v>
      </c>
      <c r="E98" s="4" t="s">
        <v>986</v>
      </c>
      <c r="F98" s="4" t="s">
        <v>971</v>
      </c>
      <c r="G98" s="3">
        <v>81</v>
      </c>
      <c r="H98" s="3">
        <f>MROUND(G98*1.03, 0.5)</f>
      </c>
    </row>
    <row r="99" ht="18.75" customHeight="1" spans="1:8" x14ac:dyDescent="0.25">
      <c r="A99" s="4" t="s">
        <v>1069</v>
      </c>
      <c r="B99" s="4" t="s">
        <v>1070</v>
      </c>
      <c r="C99" s="3">
        <v>4307</v>
      </c>
      <c r="D99" s="3">
        <v>10</v>
      </c>
      <c r="E99" s="4" t="s">
        <v>986</v>
      </c>
      <c r="F99" s="4" t="s">
        <v>971</v>
      </c>
      <c r="G99" s="3">
        <v>81</v>
      </c>
      <c r="H99" s="3">
        <f>MROUND(G99*1.03, 0.5)</f>
      </c>
    </row>
    <row r="100" ht="18.75" customHeight="1" spans="1:8" x14ac:dyDescent="0.25">
      <c r="A100" s="4" t="s">
        <v>1071</v>
      </c>
      <c r="B100" s="4" t="s">
        <v>1072</v>
      </c>
      <c r="C100" s="3">
        <v>2659</v>
      </c>
      <c r="D100" s="3">
        <v>20</v>
      </c>
      <c r="E100" s="4" t="s">
        <v>1073</v>
      </c>
      <c r="F100" s="4" t="s">
        <v>273</v>
      </c>
      <c r="G100" s="3">
        <v>30</v>
      </c>
      <c r="H100" s="3">
        <f>MROUND(G100*1.03, 0.5)</f>
      </c>
    </row>
    <row r="101" ht="18.75" customHeight="1" spans="1:8" x14ac:dyDescent="0.25">
      <c r="A101" s="4" t="s">
        <v>1071</v>
      </c>
      <c r="B101" s="4" t="s">
        <v>1072</v>
      </c>
      <c r="C101" s="3">
        <v>2621</v>
      </c>
      <c r="D101" s="3">
        <v>5</v>
      </c>
      <c r="E101" s="4" t="s">
        <v>1074</v>
      </c>
      <c r="F101" s="4" t="s">
        <v>273</v>
      </c>
      <c r="G101" s="3">
        <v>25.5</v>
      </c>
      <c r="H101" s="3">
        <f>MROUND(G101*1.03, 0.5)</f>
      </c>
    </row>
    <row r="102" ht="18.75" customHeight="1" spans="1:8" x14ac:dyDescent="0.25">
      <c r="A102" s="4" t="s">
        <v>1075</v>
      </c>
      <c r="B102" s="4" t="s">
        <v>1076</v>
      </c>
      <c r="C102" s="3">
        <v>3656</v>
      </c>
      <c r="D102" s="3">
        <v>5</v>
      </c>
      <c r="E102" s="4" t="s">
        <v>986</v>
      </c>
      <c r="F102" s="4" t="s">
        <v>273</v>
      </c>
      <c r="G102" s="3">
        <v>27</v>
      </c>
      <c r="H102" s="3">
        <f>MROUND(G102*1.03,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1077</v>
      </c>
      <c r="B2" s="4" t="s">
        <v>1078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1079</v>
      </c>
      <c r="B3" s="4" t="s">
        <v>1080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1081</v>
      </c>
      <c r="B4" s="4" t="s">
        <v>1082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1083</v>
      </c>
      <c r="B5" s="4" t="s">
        <v>1084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1085</v>
      </c>
      <c r="B6" s="4" t="s">
        <v>1086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1087</v>
      </c>
      <c r="B7" s="4" t="s">
        <v>1088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1089</v>
      </c>
      <c r="B8" s="4" t="s">
        <v>1090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1091</v>
      </c>
      <c r="B9" s="4" t="s">
        <v>1092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1093</v>
      </c>
      <c r="B10" s="4" t="s">
        <v>1094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1095</v>
      </c>
      <c r="B11" s="4" t="s">
        <v>1096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1097</v>
      </c>
      <c r="B12" s="4" t="s">
        <v>1098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1099</v>
      </c>
      <c r="B13" s="4" t="s">
        <v>1100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1101</v>
      </c>
      <c r="B14" s="4" t="s">
        <v>1102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1103</v>
      </c>
      <c r="B15" s="4" t="s">
        <v>1104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1105</v>
      </c>
      <c r="B16" s="4" t="s">
        <v>1106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1107</v>
      </c>
      <c r="B17" s="4" t="s">
        <v>1108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1109</v>
      </c>
      <c r="B18" s="4" t="s">
        <v>1110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1111</v>
      </c>
      <c r="B19" s="4" t="s">
        <v>1112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1113</v>
      </c>
      <c r="B20" s="4" t="s">
        <v>1114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1115</v>
      </c>
      <c r="B21" s="4" t="s">
        <v>1116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1117</v>
      </c>
      <c r="B2" s="4" t="s">
        <v>1118</v>
      </c>
      <c r="C2" s="3">
        <v>3459</v>
      </c>
      <c r="D2" s="3">
        <v>12</v>
      </c>
      <c r="E2" s="4" t="s">
        <v>784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1119</v>
      </c>
      <c r="B3" s="4" t="s">
        <v>1120</v>
      </c>
      <c r="C3" s="3">
        <v>3803</v>
      </c>
      <c r="D3" s="3">
        <v>12</v>
      </c>
      <c r="E3" s="4" t="s">
        <v>784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1121</v>
      </c>
      <c r="B4" s="4" t="s">
        <v>1122</v>
      </c>
      <c r="C4" s="3">
        <v>3425</v>
      </c>
      <c r="D4" s="3">
        <v>1</v>
      </c>
      <c r="E4" s="4" t="s">
        <v>784</v>
      </c>
      <c r="F4" s="4" t="s">
        <v>784</v>
      </c>
      <c r="G4" s="3">
        <v>29</v>
      </c>
      <c r="H4" s="3">
        <f>MROUND(G4*1.03, 0.5)</f>
      </c>
    </row>
    <row r="5" ht="18.75" customHeight="1" spans="1:8" x14ac:dyDescent="0.25">
      <c r="A5" s="4" t="s">
        <v>1121</v>
      </c>
      <c r="B5" s="4" t="s">
        <v>1122</v>
      </c>
      <c r="C5" s="3">
        <v>3426</v>
      </c>
      <c r="D5" s="3">
        <v>12</v>
      </c>
      <c r="E5" s="4" t="s">
        <v>784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1123</v>
      </c>
      <c r="B6" s="4" t="s">
        <v>1124</v>
      </c>
      <c r="C6" s="3">
        <v>3427</v>
      </c>
      <c r="D6" s="3">
        <v>1</v>
      </c>
      <c r="E6" s="4" t="s">
        <v>784</v>
      </c>
      <c r="F6" s="4" t="s">
        <v>784</v>
      </c>
      <c r="G6" s="3">
        <v>62.5</v>
      </c>
      <c r="H6" s="3">
        <f>MROUND(G6*1.03, 0.5)</f>
      </c>
    </row>
    <row r="7" ht="18.75" customHeight="1" spans="1:8" x14ac:dyDescent="0.25">
      <c r="A7" s="4" t="s">
        <v>1123</v>
      </c>
      <c r="B7" s="4" t="s">
        <v>1124</v>
      </c>
      <c r="C7" s="3">
        <v>3428</v>
      </c>
      <c r="D7" s="3">
        <v>12</v>
      </c>
      <c r="E7" s="4" t="s">
        <v>784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1125</v>
      </c>
      <c r="B8" s="4" t="s">
        <v>1126</v>
      </c>
      <c r="C8" s="3">
        <v>3429</v>
      </c>
      <c r="D8" s="3">
        <v>1</v>
      </c>
      <c r="E8" s="4" t="s">
        <v>784</v>
      </c>
      <c r="F8" s="4" t="s">
        <v>784</v>
      </c>
      <c r="G8" s="3">
        <v>76.5</v>
      </c>
      <c r="H8" s="3">
        <f>MROUND(G8*1.03, 0.5)</f>
      </c>
    </row>
    <row r="9" ht="18.75" customHeight="1" spans="1:8" x14ac:dyDescent="0.25">
      <c r="A9" s="4" t="s">
        <v>1125</v>
      </c>
      <c r="B9" s="4" t="s">
        <v>1126</v>
      </c>
      <c r="C9" s="3">
        <v>3430</v>
      </c>
      <c r="D9" s="3">
        <v>12</v>
      </c>
      <c r="E9" s="4" t="s">
        <v>784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1127</v>
      </c>
      <c r="B10" s="4" t="s">
        <v>1128</v>
      </c>
      <c r="C10" s="3">
        <v>3913</v>
      </c>
      <c r="D10" s="3">
        <v>1</v>
      </c>
      <c r="E10" s="4" t="s">
        <v>784</v>
      </c>
      <c r="F10" s="4" t="s">
        <v>784</v>
      </c>
      <c r="G10" s="3">
        <v>68</v>
      </c>
      <c r="H10" s="3">
        <f>MROUND(G10*1.03, 0.5)</f>
      </c>
    </row>
    <row r="11" ht="18.75" customHeight="1" spans="1:8" x14ac:dyDescent="0.25">
      <c r="A11" s="4" t="s">
        <v>1127</v>
      </c>
      <c r="B11" s="4" t="s">
        <v>1128</v>
      </c>
      <c r="C11" s="3">
        <v>3872</v>
      </c>
      <c r="D11" s="3">
        <v>12</v>
      </c>
      <c r="E11" s="4" t="s">
        <v>784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1129</v>
      </c>
      <c r="B12" s="4" t="s">
        <v>1130</v>
      </c>
      <c r="C12" s="3">
        <v>3422</v>
      </c>
      <c r="D12" s="3">
        <v>1</v>
      </c>
      <c r="E12" s="4" t="s">
        <v>784</v>
      </c>
      <c r="F12" s="4" t="s">
        <v>784</v>
      </c>
      <c r="G12" s="3">
        <v>20</v>
      </c>
      <c r="H12" s="3">
        <f>MROUND(G12*1.03, 0.5)</f>
      </c>
    </row>
    <row r="13" ht="18.75" customHeight="1" spans="1:8" x14ac:dyDescent="0.25">
      <c r="A13" s="4" t="s">
        <v>1129</v>
      </c>
      <c r="B13" s="4" t="s">
        <v>1130</v>
      </c>
      <c r="C13" s="3">
        <v>3423</v>
      </c>
      <c r="D13" s="3">
        <v>12</v>
      </c>
      <c r="E13" s="4" t="s">
        <v>1131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1132</v>
      </c>
      <c r="B14" s="4" t="s">
        <v>1133</v>
      </c>
      <c r="C14" s="3">
        <v>3431</v>
      </c>
      <c r="D14" s="3">
        <v>1</v>
      </c>
      <c r="E14" s="4" t="s">
        <v>784</v>
      </c>
      <c r="F14" s="4" t="s">
        <v>784</v>
      </c>
      <c r="G14" s="3">
        <v>115</v>
      </c>
      <c r="H14" s="3">
        <f>MROUND(G14*1.03, 0.5)</f>
      </c>
    </row>
    <row r="15" ht="18.75" customHeight="1" spans="1:8" x14ac:dyDescent="0.25">
      <c r="A15" s="4" t="s">
        <v>1132</v>
      </c>
      <c r="B15" s="4" t="s">
        <v>1133</v>
      </c>
      <c r="C15" s="3">
        <v>3432</v>
      </c>
      <c r="D15" s="3">
        <v>12</v>
      </c>
      <c r="E15" s="4" t="s">
        <v>784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2026-10-21T10:51:26Z</dcterms:created>
  <dcterms:modified xsi:type="dcterms:W3CDTF">2026-10-21T10:51:26Z</dcterms:modified>
</cp:coreProperties>
</file>
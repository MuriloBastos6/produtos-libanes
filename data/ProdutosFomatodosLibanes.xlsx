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5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<sst xmlns="http://schemas.openxmlformats.org/spreadsheetml/2006/main" count="3740" uniqueCount="1129">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</sst>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9.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9.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9.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9.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9.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9.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9.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9.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9.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9.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9.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9.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9.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9.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9.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9.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9.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9.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9.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9.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9.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9.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9.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9.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9.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9.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9.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9.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9.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9.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9.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9.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9.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9.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9.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9.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9.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9.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9.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9.5">
      <c r="A80" s="4" t="s">
        <v>1116</v>
      </c>
      <c r="B80" s="4" t="s">
        <v>1117</v>
      </c>
      <c r="C80" s="5">
        <v>4021</v>
      </c>
      <c r="D80" s="5">
        <v>1.1</v>
      </c>
      <c r="E80" s="4" t="s">
        <v>30</v>
      </c>
      <c r="F80" s="4" t="s">
        <v>11</v>
      </c>
      <c r="G80" s="5">
        <v>116.5</v>
      </c>
      <c r="H80" s="5">
        <f>MROUND(G78*1.03, 0.5)</f>
      </c>
    </row>
    <row x14ac:dyDescent="0.25" r="81" customHeight="1" ht="19.5">
      <c r="A81" s="4" t="s">
        <v>1116</v>
      </c>
      <c r="B81" s="4" t="s">
        <v>1117</v>
      </c>
      <c r="C81" s="5">
        <v>4135</v>
      </c>
      <c r="D81" s="5">
        <v>12</v>
      </c>
      <c r="E81" s="4" t="s">
        <v>1118</v>
      </c>
      <c r="F81" s="4" t="s">
        <v>16</v>
      </c>
      <c r="G81" s="5">
        <v>1398</v>
      </c>
      <c r="H81" s="6">
        <f>MROUND(G79*1.03, 0.5)</f>
      </c>
    </row>
    <row x14ac:dyDescent="0.25" r="82" customHeight="1" ht="19.5">
      <c r="A82" s="4" t="s">
        <v>1119</v>
      </c>
      <c r="B82" s="4" t="s">
        <v>1120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9.5">
      <c r="A83" s="4" t="s">
        <v>1119</v>
      </c>
      <c r="B83" s="4" t="s">
        <v>1120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9.5">
      <c r="A84" s="4" t="s">
        <v>1121</v>
      </c>
      <c r="B84" s="4" t="s">
        <v>1122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9.5">
      <c r="A85" s="4" t="s">
        <v>1121</v>
      </c>
      <c r="B85" s="4" t="s">
        <v>1122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9.5">
      <c r="A86" s="4" t="s">
        <v>1123</v>
      </c>
      <c r="B86" s="4" t="s">
        <v>1124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9.5">
      <c r="A87" s="4" t="s">
        <v>1123</v>
      </c>
      <c r="B87" s="4" t="s">
        <v>1124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1125</v>
      </c>
      <c r="B88" s="4" t="s">
        <v>1126</v>
      </c>
      <c r="C88" s="5">
        <v>4540</v>
      </c>
      <c r="D88" s="5">
        <v>10</v>
      </c>
      <c r="E88" s="4" t="s">
        <v>30</v>
      </c>
      <c r="F88" s="4" t="s">
        <v>11</v>
      </c>
      <c r="G88" s="5">
        <v>650</v>
      </c>
      <c r="H88" s="6">
        <f>MROUND(G86*1.03, 0.5)</f>
      </c>
    </row>
    <row x14ac:dyDescent="0.25" r="89" customHeight="1" ht="18.75">
      <c r="A89" s="4" t="s">
        <v>1127</v>
      </c>
      <c r="B89" s="4" t="s">
        <v>1128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1127</v>
      </c>
      <c r="B90" s="4" t="s">
        <v>1128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1127</v>
      </c>
      <c r="B91" s="4" t="s">
        <v>1128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22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220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440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44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600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480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24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9.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9.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9.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9.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9.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9.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9.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9.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9.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9.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9.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9.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9.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9.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9.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9.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9.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9.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9.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9.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170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31.5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8.75">
      <c r="A46" s="4" t="s">
        <v>803</v>
      </c>
      <c r="B46" s="4" t="s">
        <v>804</v>
      </c>
      <c r="C46" s="5">
        <v>2834</v>
      </c>
      <c r="D46" s="5">
        <v>30</v>
      </c>
      <c r="E46" s="4" t="s">
        <v>30</v>
      </c>
      <c r="F46" s="4" t="s">
        <v>147</v>
      </c>
      <c r="G46" s="6">
        <v>138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3621</v>
      </c>
      <c r="D47" s="5">
        <v>25</v>
      </c>
      <c r="E47" s="4" t="s">
        <v>30</v>
      </c>
      <c r="F47" s="4" t="s">
        <v>147</v>
      </c>
      <c r="G47" s="6">
        <v>115</v>
      </c>
      <c r="H47" s="6">
        <f>MROUND(G46*1.03, 0.5)</f>
      </c>
    </row>
    <row x14ac:dyDescent="0.25" r="48" customHeight="1" ht="19.5">
      <c r="A48" s="4" t="s">
        <v>803</v>
      </c>
      <c r="B48" s="4" t="s">
        <v>804</v>
      </c>
      <c r="C48" s="5">
        <v>141</v>
      </c>
      <c r="D48" s="5">
        <v>5</v>
      </c>
      <c r="E48" s="4" t="s">
        <v>30</v>
      </c>
      <c r="F48" s="4" t="s">
        <v>147</v>
      </c>
      <c r="G48" s="5">
        <v>26</v>
      </c>
      <c r="H48" s="5">
        <f>MROUND(G47*1.03, 0.5)</f>
      </c>
    </row>
    <row x14ac:dyDescent="0.25" r="49" customHeight="1" ht="19.5">
      <c r="A49" s="4" t="s">
        <v>805</v>
      </c>
      <c r="B49" s="4" t="s">
        <v>806</v>
      </c>
      <c r="C49" s="5">
        <v>3025</v>
      </c>
      <c r="D49" s="5">
        <v>30</v>
      </c>
      <c r="E49" s="4" t="s">
        <v>30</v>
      </c>
      <c r="F49" s="4" t="s">
        <v>147</v>
      </c>
      <c r="G49" s="5">
        <v>170</v>
      </c>
      <c r="H49" s="5">
        <f>MROUND(G48*1.03, 0.5)</f>
      </c>
    </row>
    <row x14ac:dyDescent="0.25" r="50" customHeight="1" ht="19.5">
      <c r="A50" s="4" t="s">
        <v>805</v>
      </c>
      <c r="B50" s="4" t="s">
        <v>806</v>
      </c>
      <c r="C50" s="5">
        <v>2543</v>
      </c>
      <c r="D50" s="5">
        <v>5</v>
      </c>
      <c r="E50" s="4" t="s">
        <v>30</v>
      </c>
      <c r="F50" s="4" t="s">
        <v>11</v>
      </c>
      <c r="G50" s="6">
        <v>31.5</v>
      </c>
      <c r="H50" s="6">
        <f>MROUND(G49*1.03, 0.5)</f>
      </c>
    </row>
    <row x14ac:dyDescent="0.25" r="51" customHeight="1" ht="18.75">
      <c r="A51" s="4" t="s">
        <v>807</v>
      </c>
      <c r="B51" s="4" t="s">
        <v>808</v>
      </c>
      <c r="C51" s="5">
        <v>98</v>
      </c>
      <c r="D51" s="5">
        <v>30</v>
      </c>
      <c r="E51" s="4" t="s">
        <v>30</v>
      </c>
      <c r="F51" s="4" t="s">
        <v>147</v>
      </c>
      <c r="G51" s="5">
        <v>320</v>
      </c>
      <c r="H51" s="6">
        <f>MROUND(G50*1.03, 0.5)</f>
      </c>
    </row>
    <row x14ac:dyDescent="0.25" r="52" customHeight="1" ht="18.75">
      <c r="A52" s="4" t="s">
        <v>807</v>
      </c>
      <c r="B52" s="4" t="s">
        <v>808</v>
      </c>
      <c r="C52" s="5">
        <v>35</v>
      </c>
      <c r="D52" s="5">
        <v>5</v>
      </c>
      <c r="E52" s="4" t="s">
        <v>30</v>
      </c>
      <c r="F52" s="4" t="s">
        <v>147</v>
      </c>
      <c r="G52" s="6">
        <v>55.5</v>
      </c>
      <c r="H52" s="5">
        <f>MROUND(G51*1.03, 0.5)</f>
      </c>
    </row>
    <row x14ac:dyDescent="0.25" r="53" customHeight="1" ht="18.75">
      <c r="A53" s="4" t="s">
        <v>809</v>
      </c>
      <c r="B53" s="4" t="s">
        <v>810</v>
      </c>
      <c r="C53" s="5">
        <v>2353</v>
      </c>
      <c r="D53" s="5">
        <v>25</v>
      </c>
      <c r="E53" s="4" t="s">
        <v>30</v>
      </c>
      <c r="F53" s="4" t="s">
        <v>147</v>
      </c>
      <c r="G53" s="6">
        <v>362.5</v>
      </c>
      <c r="H53" s="6">
        <f>MROUND(G52*1.03, 0.5)</f>
      </c>
    </row>
    <row x14ac:dyDescent="0.25" r="54" customHeight="1" ht="18.75">
      <c r="A54" s="4" t="s">
        <v>809</v>
      </c>
      <c r="B54" s="4" t="s">
        <v>810</v>
      </c>
      <c r="C54" s="5">
        <v>2466</v>
      </c>
      <c r="D54" s="5">
        <v>5</v>
      </c>
      <c r="E54" s="4" t="s">
        <v>30</v>
      </c>
      <c r="F54" s="4" t="s">
        <v>11</v>
      </c>
      <c r="G54" s="6">
        <v>74.5</v>
      </c>
      <c r="H54" s="6">
        <f>MROUND(G53*1.03, 0.5)</f>
      </c>
    </row>
    <row x14ac:dyDescent="0.25" r="55" customHeight="1" ht="18.75">
      <c r="A55" s="4" t="s">
        <v>811</v>
      </c>
      <c r="B55" s="4" t="s">
        <v>812</v>
      </c>
      <c r="C55" s="5">
        <v>3089</v>
      </c>
      <c r="D55" s="5">
        <v>30</v>
      </c>
      <c r="E55" s="4" t="s">
        <v>30</v>
      </c>
      <c r="F55" s="4" t="s">
        <v>147</v>
      </c>
      <c r="G55" s="5">
        <v>255</v>
      </c>
      <c r="H55" s="6">
        <f>MROUND(G54*1.03, 0.5)</f>
      </c>
    </row>
    <row x14ac:dyDescent="0.25" r="56" customHeight="1" ht="19.5">
      <c r="A56" s="4" t="s">
        <v>811</v>
      </c>
      <c r="B56" s="4" t="s">
        <v>812</v>
      </c>
      <c r="C56" s="5">
        <v>2666</v>
      </c>
      <c r="D56" s="5">
        <v>25</v>
      </c>
      <c r="E56" s="4" t="s">
        <v>30</v>
      </c>
      <c r="F56" s="4" t="s">
        <v>147</v>
      </c>
      <c r="G56" s="6">
        <v>212.5</v>
      </c>
      <c r="H56" s="5">
        <f>MROUND(G55*1.03, 0.5)</f>
      </c>
    </row>
    <row x14ac:dyDescent="0.25" r="57" customHeight="1" ht="19.5">
      <c r="A57" s="4" t="s">
        <v>811</v>
      </c>
      <c r="B57" s="4" t="s">
        <v>812</v>
      </c>
      <c r="C57" s="5">
        <v>2667</v>
      </c>
      <c r="D57" s="5">
        <v>5</v>
      </c>
      <c r="E57" s="4" t="s">
        <v>30</v>
      </c>
      <c r="F57" s="4" t="s">
        <v>11</v>
      </c>
      <c r="G57" s="6">
        <v>44.5</v>
      </c>
      <c r="H57" s="5">
        <f>MROUND(G56*1.03, 0.5)</f>
      </c>
    </row>
    <row x14ac:dyDescent="0.25" r="58" customHeight="1" ht="19.5">
      <c r="A58" s="4" t="s">
        <v>813</v>
      </c>
      <c r="B58" s="4" t="s">
        <v>814</v>
      </c>
      <c r="C58" s="5">
        <v>3478</v>
      </c>
      <c r="D58" s="5">
        <v>60</v>
      </c>
      <c r="E58" s="4" t="s">
        <v>30</v>
      </c>
      <c r="F58" s="4" t="s">
        <v>147</v>
      </c>
      <c r="G58" s="5">
        <v>350</v>
      </c>
      <c r="H58" s="6">
        <f>MROUND(G57*1.03, 0.5)</f>
      </c>
    </row>
    <row x14ac:dyDescent="0.25" r="59" customHeight="1" ht="19.5">
      <c r="A59" s="4" t="s">
        <v>813</v>
      </c>
      <c r="B59" s="4" t="s">
        <v>814</v>
      </c>
      <c r="C59" s="5">
        <v>190</v>
      </c>
      <c r="D59" s="5">
        <v>30</v>
      </c>
      <c r="E59" s="4" t="s">
        <v>30</v>
      </c>
      <c r="F59" s="4" t="s">
        <v>147</v>
      </c>
      <c r="G59" s="5">
        <v>175</v>
      </c>
      <c r="H59" s="6">
        <f>MROUND(G58*1.03, 0.5)</f>
      </c>
    </row>
    <row x14ac:dyDescent="0.25" r="60" customHeight="1" ht="19.5">
      <c r="A60" s="4" t="s">
        <v>813</v>
      </c>
      <c r="B60" s="4" t="s">
        <v>814</v>
      </c>
      <c r="C60" s="5">
        <v>2335</v>
      </c>
      <c r="D60" s="5">
        <v>5</v>
      </c>
      <c r="E60" s="4" t="s">
        <v>30</v>
      </c>
      <c r="F60" s="4" t="s">
        <v>11</v>
      </c>
      <c r="G60" s="5">
        <v>32</v>
      </c>
      <c r="H60" s="5">
        <f>MROUND(G59*1.03, 0.5)</f>
      </c>
    </row>
    <row x14ac:dyDescent="0.25" r="61" customHeight="1" ht="19.5">
      <c r="A61" s="4" t="s">
        <v>815</v>
      </c>
      <c r="B61" s="4" t="s">
        <v>816</v>
      </c>
      <c r="C61" s="5">
        <v>3446</v>
      </c>
      <c r="D61" s="5">
        <v>25</v>
      </c>
      <c r="E61" s="4" t="s">
        <v>30</v>
      </c>
      <c r="F61" s="4" t="s">
        <v>147</v>
      </c>
      <c r="G61" s="5">
        <v>275</v>
      </c>
      <c r="H61" s="6">
        <f>MROUND(G60*1.03, 0.5)</f>
      </c>
    </row>
    <row x14ac:dyDescent="0.25" r="62" customHeight="1" ht="19.5">
      <c r="A62" s="4" t="s">
        <v>815</v>
      </c>
      <c r="B62" s="4" t="s">
        <v>816</v>
      </c>
      <c r="C62" s="5">
        <v>3447</v>
      </c>
      <c r="D62" s="5">
        <v>5</v>
      </c>
      <c r="E62" s="4" t="s">
        <v>30</v>
      </c>
      <c r="F62" s="4" t="s">
        <v>11</v>
      </c>
      <c r="G62" s="5">
        <v>57</v>
      </c>
      <c r="H62" s="6">
        <f>MROUND(G61*1.03, 0.5)</f>
      </c>
    </row>
    <row x14ac:dyDescent="0.25" r="63" customHeight="1" ht="19.5">
      <c r="A63" s="4" t="s">
        <v>817</v>
      </c>
      <c r="B63" s="4" t="s">
        <v>818</v>
      </c>
      <c r="C63" s="5">
        <v>100</v>
      </c>
      <c r="D63" s="5">
        <v>30</v>
      </c>
      <c r="E63" s="4" t="s">
        <v>30</v>
      </c>
      <c r="F63" s="4" t="s">
        <v>147</v>
      </c>
      <c r="G63" s="5">
        <v>280</v>
      </c>
      <c r="H63" s="6">
        <f>MROUND(G62*1.03, 0.5)</f>
      </c>
    </row>
    <row x14ac:dyDescent="0.25" r="64" customHeight="1" ht="19.5">
      <c r="A64" s="4" t="s">
        <v>817</v>
      </c>
      <c r="B64" s="4" t="s">
        <v>818</v>
      </c>
      <c r="C64" s="5">
        <v>136</v>
      </c>
      <c r="D64" s="5">
        <v>5</v>
      </c>
      <c r="E64" s="4" t="s">
        <v>30</v>
      </c>
      <c r="F64" s="4" t="s">
        <v>147</v>
      </c>
      <c r="G64" s="6">
        <v>48.5</v>
      </c>
      <c r="H64" s="5">
        <f>MROUND(G63*1.03, 0.5)</f>
      </c>
    </row>
    <row x14ac:dyDescent="0.25" r="65" customHeight="1" ht="19.5">
      <c r="A65" s="4" t="s">
        <v>819</v>
      </c>
      <c r="B65" s="4" t="s">
        <v>820</v>
      </c>
      <c r="C65" s="5">
        <v>259</v>
      </c>
      <c r="D65" s="5">
        <v>30</v>
      </c>
      <c r="E65" s="4" t="s">
        <v>30</v>
      </c>
      <c r="F65" s="4" t="s">
        <v>147</v>
      </c>
      <c r="G65" s="5">
        <v>375</v>
      </c>
      <c r="H65" s="6">
        <f>MROUND(G64*1.03, 0.5)</f>
      </c>
    </row>
    <row x14ac:dyDescent="0.25" r="66" customHeight="1" ht="19.5">
      <c r="A66" s="4" t="s">
        <v>819</v>
      </c>
      <c r="B66" s="4" t="s">
        <v>820</v>
      </c>
      <c r="C66" s="5">
        <v>2319</v>
      </c>
      <c r="D66" s="5">
        <v>5</v>
      </c>
      <c r="E66" s="4" t="s">
        <v>30</v>
      </c>
      <c r="F66" s="4" t="s">
        <v>11</v>
      </c>
      <c r="G66" s="6">
        <v>64.5</v>
      </c>
      <c r="H66" s="6">
        <f>MROUND(G65*1.03, 0.5)</f>
      </c>
    </row>
    <row x14ac:dyDescent="0.25" r="67" customHeight="1" ht="19.5">
      <c r="A67" s="4" t="s">
        <v>821</v>
      </c>
      <c r="B67" s="4" t="s">
        <v>822</v>
      </c>
      <c r="C67" s="5">
        <v>125</v>
      </c>
      <c r="D67" s="5">
        <v>30</v>
      </c>
      <c r="E67" s="4" t="s">
        <v>30</v>
      </c>
      <c r="F67" s="4" t="s">
        <v>147</v>
      </c>
      <c r="G67" s="5">
        <v>330</v>
      </c>
      <c r="H67" s="5">
        <f>MROUND(G66*1.03, 0.5)</f>
      </c>
    </row>
    <row x14ac:dyDescent="0.25" r="68" customHeight="1" ht="19.5">
      <c r="A68" s="4" t="s">
        <v>821</v>
      </c>
      <c r="B68" s="4" t="s">
        <v>822</v>
      </c>
      <c r="C68" s="5">
        <v>2468</v>
      </c>
      <c r="D68" s="5">
        <v>5</v>
      </c>
      <c r="E68" s="4" t="s">
        <v>30</v>
      </c>
      <c r="F68" s="4" t="s">
        <v>11</v>
      </c>
      <c r="G68" s="5">
        <v>57</v>
      </c>
      <c r="H68" s="6">
        <f>MROUND(G67*1.03, 0.5)</f>
      </c>
    </row>
    <row x14ac:dyDescent="0.25" r="69" customHeight="1" ht="19.5">
      <c r="A69" s="4" t="s">
        <v>823</v>
      </c>
      <c r="B69" s="4" t="s">
        <v>824</v>
      </c>
      <c r="C69" s="5">
        <v>3740</v>
      </c>
      <c r="D69" s="5">
        <v>25</v>
      </c>
      <c r="E69" s="4" t="s">
        <v>30</v>
      </c>
      <c r="F69" s="4" t="s">
        <v>147</v>
      </c>
      <c r="G69" s="5">
        <v>237.5</v>
      </c>
      <c r="H69" s="5">
        <f>MROUND(G68*1.03, 0.5)</f>
      </c>
    </row>
    <row x14ac:dyDescent="0.25" r="70" customHeight="1" ht="19.5">
      <c r="A70" s="4" t="s">
        <v>823</v>
      </c>
      <c r="B70" s="4" t="s">
        <v>824</v>
      </c>
      <c r="C70" s="5">
        <v>2469</v>
      </c>
      <c r="D70" s="5">
        <v>5</v>
      </c>
      <c r="E70" s="4" t="s">
        <v>30</v>
      </c>
      <c r="F70" s="4" t="s">
        <v>11</v>
      </c>
      <c r="G70" s="6">
        <v>50.5</v>
      </c>
      <c r="H70" s="6">
        <f>MROUND(G69*1.03, 0.5)</f>
      </c>
    </row>
    <row x14ac:dyDescent="0.25" r="71" customHeight="1" ht="19.5">
      <c r="A71" s="4" t="s">
        <v>825</v>
      </c>
      <c r="B71" s="4" t="s">
        <v>826</v>
      </c>
      <c r="C71" s="5">
        <v>3006</v>
      </c>
      <c r="D71" s="5">
        <v>30</v>
      </c>
      <c r="E71" s="4" t="s">
        <v>30</v>
      </c>
      <c r="F71" s="4" t="s">
        <v>147</v>
      </c>
      <c r="G71" s="6">
        <v>312.5</v>
      </c>
      <c r="H71" s="5">
        <f>MROUND(G70*1.03, 0.5)</f>
      </c>
    </row>
    <row x14ac:dyDescent="0.25" r="72" customHeight="1" ht="19.5">
      <c r="A72" s="4" t="s">
        <v>825</v>
      </c>
      <c r="B72" s="4" t="s">
        <v>826</v>
      </c>
      <c r="C72" s="5">
        <v>3007</v>
      </c>
      <c r="D72" s="5">
        <v>5</v>
      </c>
      <c r="E72" s="4" t="s">
        <v>30</v>
      </c>
      <c r="F72" s="4" t="s">
        <v>11</v>
      </c>
      <c r="G72" s="6">
        <v>64.5</v>
      </c>
      <c r="H72" s="6">
        <f>MROUND(G71*1.03, 0.5)</f>
      </c>
    </row>
    <row x14ac:dyDescent="0.25" r="73" customHeight="1" ht="19.5">
      <c r="A73" s="4" t="s">
        <v>827</v>
      </c>
      <c r="B73" s="4" t="s">
        <v>828</v>
      </c>
      <c r="C73" s="5">
        <v>117</v>
      </c>
      <c r="D73" s="5">
        <v>25</v>
      </c>
      <c r="E73" s="4" t="s">
        <v>30</v>
      </c>
      <c r="F73" s="4" t="s">
        <v>147</v>
      </c>
      <c r="G73" s="5">
        <v>300</v>
      </c>
      <c r="H73" s="5">
        <f>MROUND(G72*1.03, 0.5)</f>
      </c>
    </row>
    <row x14ac:dyDescent="0.25" r="74" customHeight="1" ht="19.5">
      <c r="A74" s="4" t="s">
        <v>827</v>
      </c>
      <c r="B74" s="4" t="s">
        <v>828</v>
      </c>
      <c r="C74" s="5">
        <v>2320</v>
      </c>
      <c r="D74" s="5">
        <v>5</v>
      </c>
      <c r="E74" s="4" t="s">
        <v>30</v>
      </c>
      <c r="F74" s="4" t="s">
        <v>11</v>
      </c>
      <c r="G74" s="5">
        <v>62</v>
      </c>
      <c r="H74" s="5">
        <f>MROUND(G73*1.03, 0.5)</f>
      </c>
    </row>
    <row x14ac:dyDescent="0.25" r="75" customHeight="1" ht="19.5">
      <c r="A75" s="4" t="s">
        <v>829</v>
      </c>
      <c r="B75" s="4" t="s">
        <v>830</v>
      </c>
      <c r="C75" s="5">
        <v>60</v>
      </c>
      <c r="D75" s="5">
        <v>25</v>
      </c>
      <c r="E75" s="4" t="s">
        <v>30</v>
      </c>
      <c r="F75" s="4" t="s">
        <v>147</v>
      </c>
      <c r="G75" s="5">
        <v>180</v>
      </c>
      <c r="H75" s="6">
        <f>MROUND(G74*1.03, 0.5)</f>
      </c>
    </row>
    <row x14ac:dyDescent="0.25" r="76" customHeight="1" ht="19.5">
      <c r="A76" s="4" t="s">
        <v>829</v>
      </c>
      <c r="B76" s="4" t="s">
        <v>830</v>
      </c>
      <c r="C76" s="5">
        <v>2321</v>
      </c>
      <c r="D76" s="5">
        <v>5</v>
      </c>
      <c r="E76" s="4" t="s">
        <v>30</v>
      </c>
      <c r="F76" s="4" t="s">
        <v>11</v>
      </c>
      <c r="G76" s="5">
        <v>38</v>
      </c>
      <c r="H76" s="5">
        <f>MROUND(G75*1.03, 0.5)</f>
      </c>
    </row>
    <row x14ac:dyDescent="0.25" r="77" customHeight="1" ht="19.5">
      <c r="A77" s="4" t="s">
        <v>831</v>
      </c>
      <c r="B77" s="4" t="s">
        <v>832</v>
      </c>
      <c r="C77" s="5">
        <v>211</v>
      </c>
      <c r="D77" s="6">
        <v>22.68</v>
      </c>
      <c r="E77" s="4" t="s">
        <v>30</v>
      </c>
      <c r="F77" s="4" t="s">
        <v>147</v>
      </c>
      <c r="G77" s="6">
        <v>179</v>
      </c>
      <c r="H77" s="5">
        <f>MROUND(G76*1.03, 0.5)</f>
      </c>
    </row>
    <row x14ac:dyDescent="0.25" r="78" customHeight="1" ht="19.5">
      <c r="A78" s="4" t="s">
        <v>831</v>
      </c>
      <c r="B78" s="4" t="s">
        <v>832</v>
      </c>
      <c r="C78" s="5">
        <v>41</v>
      </c>
      <c r="D78" s="6">
        <v>45.36</v>
      </c>
      <c r="E78" s="4" t="s">
        <v>30</v>
      </c>
      <c r="F78" s="4" t="s">
        <v>147</v>
      </c>
      <c r="G78" s="5">
        <v>358</v>
      </c>
      <c r="H78" s="6">
        <f>MROUND(G77*1.03, 0.5)</f>
      </c>
    </row>
    <row x14ac:dyDescent="0.25" r="79" customHeight="1" ht="19.5">
      <c r="A79" s="4" t="s">
        <v>831</v>
      </c>
      <c r="B79" s="4" t="s">
        <v>832</v>
      </c>
      <c r="C79" s="5">
        <v>2322</v>
      </c>
      <c r="D79" s="5">
        <v>5</v>
      </c>
      <c r="E79" s="4" t="s">
        <v>30</v>
      </c>
      <c r="F79" s="4" t="s">
        <v>11</v>
      </c>
      <c r="G79" s="6">
        <v>42.5</v>
      </c>
      <c r="H79" s="5">
        <f>MROUND(G78*1.03, 0.5)</f>
      </c>
    </row>
    <row x14ac:dyDescent="0.25" r="80" customHeight="1" ht="18.75">
      <c r="A80" s="4" t="s">
        <v>833</v>
      </c>
      <c r="B80" s="4" t="s">
        <v>834</v>
      </c>
      <c r="C80" s="5">
        <v>67</v>
      </c>
      <c r="D80" s="6">
        <v>45.36</v>
      </c>
      <c r="E80" s="4" t="s">
        <v>30</v>
      </c>
      <c r="F80" s="4" t="s">
        <v>147</v>
      </c>
      <c r="G80" s="5">
        <v>544</v>
      </c>
      <c r="H80" s="6">
        <f>MROUND(G79*1.03, 0.5)</f>
      </c>
    </row>
    <row x14ac:dyDescent="0.25" r="81" customHeight="1" ht="18.75">
      <c r="A81" s="4" t="s">
        <v>833</v>
      </c>
      <c r="B81" s="4" t="s">
        <v>834</v>
      </c>
      <c r="C81" s="5">
        <v>2244</v>
      </c>
      <c r="D81" s="6">
        <v>22.68</v>
      </c>
      <c r="E81" s="4" t="s">
        <v>30</v>
      </c>
      <c r="F81" s="4" t="s">
        <v>147</v>
      </c>
      <c r="G81" s="5">
        <v>272</v>
      </c>
      <c r="H81" s="5">
        <f>MROUND(G80*1.03, 0.5)</f>
      </c>
    </row>
    <row x14ac:dyDescent="0.25" r="82" customHeight="1" ht="18.75">
      <c r="A82" s="4" t="s">
        <v>833</v>
      </c>
      <c r="B82" s="4" t="s">
        <v>834</v>
      </c>
      <c r="C82" s="5">
        <v>2488</v>
      </c>
      <c r="D82" s="5">
        <v>5</v>
      </c>
      <c r="E82" s="4" t="s">
        <v>30</v>
      </c>
      <c r="F82" s="4" t="s">
        <v>11</v>
      </c>
      <c r="G82" s="5">
        <v>63</v>
      </c>
      <c r="H82" s="5">
        <f>MROUND(G81*1.03, 0.5)</f>
      </c>
    </row>
    <row x14ac:dyDescent="0.25" r="83" customHeight="1" ht="18.75">
      <c r="A83" s="4" t="s">
        <v>835</v>
      </c>
      <c r="B83" s="4" t="s">
        <v>836</v>
      </c>
      <c r="C83" s="5">
        <v>520</v>
      </c>
      <c r="D83" s="5">
        <v>25</v>
      </c>
      <c r="E83" s="4" t="s">
        <v>30</v>
      </c>
      <c r="F83" s="4" t="s">
        <v>147</v>
      </c>
      <c r="G83" s="5">
        <v>52</v>
      </c>
      <c r="H83" s="6">
        <f>MROUND(G82*1.03, 0.5)</f>
      </c>
    </row>
    <row x14ac:dyDescent="0.25" r="84" customHeight="1" ht="18.75">
      <c r="A84" s="4" t="s">
        <v>837</v>
      </c>
      <c r="B84" s="4" t="s">
        <v>838</v>
      </c>
      <c r="C84" s="5">
        <v>4546</v>
      </c>
      <c r="D84" s="5">
        <v>5</v>
      </c>
      <c r="E84" s="4" t="s">
        <v>30</v>
      </c>
      <c r="F84" s="4" t="s">
        <v>11</v>
      </c>
      <c r="G84" s="5">
        <v>182</v>
      </c>
      <c r="H84" s="6">
        <f>MROUND(G83*1.03, 0.5)</f>
      </c>
    </row>
    <row x14ac:dyDescent="0.25" r="85" customHeight="1" ht="18.75">
      <c r="A85" s="4" t="s">
        <v>837</v>
      </c>
      <c r="B85" s="4" t="s">
        <v>838</v>
      </c>
      <c r="C85" s="5">
        <v>3695</v>
      </c>
      <c r="D85" s="5">
        <v>10</v>
      </c>
      <c r="E85" s="4" t="s">
        <v>30</v>
      </c>
      <c r="F85" s="4" t="s">
        <v>147</v>
      </c>
      <c r="G85" s="5">
        <v>350</v>
      </c>
      <c r="H85" s="6">
        <f>MROUND(G84*1.03, 0.5)</f>
      </c>
    </row>
    <row x14ac:dyDescent="0.25" r="86" customHeight="1" ht="18.75">
      <c r="A86" s="4" t="s">
        <v>837</v>
      </c>
      <c r="B86" s="4" t="s">
        <v>838</v>
      </c>
      <c r="C86" s="5">
        <v>3097</v>
      </c>
      <c r="D86" s="5">
        <v>20</v>
      </c>
      <c r="E86" s="4" t="s">
        <v>30</v>
      </c>
      <c r="F86" s="4" t="s">
        <v>147</v>
      </c>
      <c r="G86" s="5">
        <v>700</v>
      </c>
      <c r="H86" s="5">
        <f>MROUND(G85*1.03, 0.5)</f>
      </c>
    </row>
    <row x14ac:dyDescent="0.25" r="87" customHeight="1" ht="18.75">
      <c r="A87" s="4" t="s">
        <v>837</v>
      </c>
      <c r="B87" s="4" t="s">
        <v>838</v>
      </c>
      <c r="C87" s="5">
        <v>2460</v>
      </c>
      <c r="D87" s="5">
        <v>3</v>
      </c>
      <c r="E87" s="4" t="s">
        <v>30</v>
      </c>
      <c r="F87" s="4" t="s">
        <v>11</v>
      </c>
      <c r="G87" s="5">
        <v>106</v>
      </c>
      <c r="H87" s="5">
        <f>MROUND(G86*1.03, 0.5)</f>
      </c>
    </row>
    <row x14ac:dyDescent="0.25" r="88" customHeight="1" ht="18.75">
      <c r="A88" s="4" t="s">
        <v>839</v>
      </c>
      <c r="B88" s="4" t="s">
        <v>840</v>
      </c>
      <c r="C88" s="5">
        <v>3110</v>
      </c>
      <c r="D88" s="5">
        <v>25</v>
      </c>
      <c r="E88" s="4" t="s">
        <v>30</v>
      </c>
      <c r="F88" s="4" t="s">
        <v>147</v>
      </c>
      <c r="G88" s="5">
        <v>87</v>
      </c>
      <c r="H88" s="6">
        <f>MROUND(G87*1.03, 0.5)</f>
      </c>
    </row>
    <row x14ac:dyDescent="0.25" r="89" customHeight="1" ht="18.75">
      <c r="A89" s="4" t="s">
        <v>841</v>
      </c>
      <c r="B89" s="4" t="s">
        <v>842</v>
      </c>
      <c r="C89" s="5">
        <v>135</v>
      </c>
      <c r="D89" s="6">
        <v>22.68</v>
      </c>
      <c r="E89" s="4" t="s">
        <v>30</v>
      </c>
      <c r="F89" s="4" t="s">
        <v>147</v>
      </c>
      <c r="G89" s="5">
        <v>85</v>
      </c>
      <c r="H89" s="6">
        <f>MROUND(G88*1.03, 0.5)</f>
      </c>
    </row>
    <row x14ac:dyDescent="0.25" r="90" customHeight="1" ht="18.75">
      <c r="A90" s="4" t="s">
        <v>843</v>
      </c>
      <c r="B90" s="4" t="s">
        <v>844</v>
      </c>
      <c r="C90" s="5">
        <v>2463</v>
      </c>
      <c r="D90" s="5">
        <v>5</v>
      </c>
      <c r="E90" s="4" t="s">
        <v>30</v>
      </c>
      <c r="F90" s="4" t="s">
        <v>147</v>
      </c>
      <c r="G90" s="5">
        <v>21</v>
      </c>
      <c r="H90" s="6">
        <f>MROUND(G89*1.03, 0.5)</f>
      </c>
    </row>
    <row x14ac:dyDescent="0.25" r="91" customHeight="1" ht="18.75">
      <c r="A91" s="4" t="s">
        <v>845</v>
      </c>
      <c r="B91" s="4" t="s">
        <v>846</v>
      </c>
      <c r="C91" s="5">
        <v>55</v>
      </c>
      <c r="D91" s="5">
        <v>25</v>
      </c>
      <c r="E91" s="4" t="s">
        <v>30</v>
      </c>
      <c r="F91" s="4" t="s">
        <v>147</v>
      </c>
      <c r="G91" s="5">
        <v>110</v>
      </c>
      <c r="H91" s="6">
        <f>MROUND(G90*1.03, 0.5)</f>
      </c>
    </row>
    <row x14ac:dyDescent="0.25" r="92" customHeight="1" ht="18.75">
      <c r="A92" s="4" t="s">
        <v>845</v>
      </c>
      <c r="B92" s="4" t="s">
        <v>846</v>
      </c>
      <c r="C92" s="5">
        <v>51</v>
      </c>
      <c r="D92" s="5">
        <v>5</v>
      </c>
      <c r="E92" s="4" t="s">
        <v>30</v>
      </c>
      <c r="F92" s="4" t="s">
        <v>147</v>
      </c>
      <c r="G92" s="5">
        <v>25</v>
      </c>
      <c r="H92" s="5">
        <f>MROUND(G91*1.03, 0.5)</f>
      </c>
    </row>
    <row x14ac:dyDescent="0.25" r="93" customHeight="1" ht="18.75">
      <c r="A93" s="4" t="s">
        <v>847</v>
      </c>
      <c r="B93" s="4" t="s">
        <v>848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847</v>
      </c>
      <c r="B94" s="4" t="s">
        <v>848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47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470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202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43.5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112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140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177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38.5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177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38.5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5">
        <v>4700</v>
      </c>
      <c r="D15" s="5">
        <v>1</v>
      </c>
      <c r="E15" s="4" t="s">
        <v>30</v>
      </c>
      <c r="F15" s="4" t="s">
        <v>11</v>
      </c>
      <c r="G15" s="5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675.5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337.5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67.5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322.5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255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255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255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8.75">
      <c r="A66" s="4" t="s">
        <v>170</v>
      </c>
      <c r="B66" s="4" t="s">
        <v>171</v>
      </c>
      <c r="C66" s="5">
        <v>4699</v>
      </c>
      <c r="D66" s="5">
        <v>50</v>
      </c>
      <c r="E66" s="4" t="s">
        <v>172</v>
      </c>
      <c r="F66" s="4" t="s">
        <v>90</v>
      </c>
      <c r="G66" s="5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175</v>
      </c>
      <c r="B68" s="4" t="s">
        <v>176</v>
      </c>
      <c r="C68" s="5">
        <v>4687</v>
      </c>
      <c r="D68" s="5">
        <v>6</v>
      </c>
      <c r="E68" s="4" t="s">
        <v>154</v>
      </c>
      <c r="F68" s="4" t="s">
        <v>16</v>
      </c>
      <c r="G68" s="6">
        <v>64</v>
      </c>
      <c r="H68" s="6">
        <f>MROUND(G69*1.03, 0.5)</f>
      </c>
    </row>
    <row x14ac:dyDescent="0.25" r="69" customHeight="1" ht="19.5">
      <c r="A69" s="4" t="s">
        <v>177</v>
      </c>
      <c r="B69" s="4" t="s">
        <v>178</v>
      </c>
      <c r="C69" s="5">
        <v>4644</v>
      </c>
      <c r="D69" s="5">
        <v>6</v>
      </c>
      <c r="E69" s="4" t="s">
        <v>154</v>
      </c>
      <c r="F69" s="4" t="s">
        <v>16</v>
      </c>
      <c r="G69" s="5">
        <v>57</v>
      </c>
      <c r="H69" s="6">
        <f>MROUND(G70*1.03, 0.5)</f>
      </c>
    </row>
    <row x14ac:dyDescent="0.25" r="70" customHeight="1" ht="19.5">
      <c r="A70" s="4" t="s">
        <v>179</v>
      </c>
      <c r="B70" s="4" t="s">
        <v>180</v>
      </c>
      <c r="C70" s="5">
        <v>4547</v>
      </c>
      <c r="D70" s="5">
        <v>10</v>
      </c>
      <c r="E70" s="4" t="s">
        <v>154</v>
      </c>
      <c r="F70" s="4" t="s">
        <v>90</v>
      </c>
      <c r="G70" s="5">
        <v>77</v>
      </c>
      <c r="H70" s="6">
        <f>MROUND(G71*1.03, 0.5)</f>
      </c>
    </row>
    <row x14ac:dyDescent="0.25" r="71" customHeight="1" ht="19.5">
      <c r="A71" s="4" t="s">
        <v>181</v>
      </c>
      <c r="B71" s="4" t="s">
        <v>182</v>
      </c>
      <c r="C71" s="5">
        <v>4104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MROUND(G72*1.03, 0.5)</f>
      </c>
    </row>
    <row x14ac:dyDescent="0.25" r="72" customHeight="1" ht="19.5">
      <c r="A72" s="4" t="s">
        <v>183</v>
      </c>
      <c r="B72" s="4" t="s">
        <v>184</v>
      </c>
      <c r="C72" s="5">
        <v>4101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MROUND(G73*1.03, 0.5)</f>
      </c>
    </row>
    <row x14ac:dyDescent="0.25" r="73" customHeight="1" ht="19.5">
      <c r="A73" s="4" t="s">
        <v>185</v>
      </c>
      <c r="B73" s="4" t="s">
        <v>186</v>
      </c>
      <c r="C73" s="5">
        <v>4641</v>
      </c>
      <c r="D73" s="5">
        <v>6</v>
      </c>
      <c r="E73" s="4" t="s">
        <v>154</v>
      </c>
      <c r="F73" s="4" t="s">
        <v>11</v>
      </c>
      <c r="G73" s="5">
        <v>72</v>
      </c>
      <c r="H73" s="5">
        <f>MROUND(G74*1.03, 0.5)</f>
      </c>
    </row>
    <row x14ac:dyDescent="0.25" r="74" customHeight="1" ht="19.5">
      <c r="A74" s="4" t="s">
        <v>185</v>
      </c>
      <c r="B74" s="4" t="s">
        <v>186</v>
      </c>
      <c r="C74" s="5">
        <v>4583</v>
      </c>
      <c r="D74" s="5">
        <v>12</v>
      </c>
      <c r="E74" s="4" t="s">
        <v>154</v>
      </c>
      <c r="F74" s="4" t="s">
        <v>16</v>
      </c>
      <c r="G74" s="5">
        <v>144</v>
      </c>
      <c r="H74" s="6">
        <f>MROUND(G75*1.03, 0.5)</f>
      </c>
    </row>
    <row x14ac:dyDescent="0.25" r="75" customHeight="1" ht="19.5">
      <c r="A75" s="4" t="s">
        <v>187</v>
      </c>
      <c r="B75" s="4" t="s">
        <v>188</v>
      </c>
      <c r="C75" s="5">
        <v>4105</v>
      </c>
      <c r="D75" s="5">
        <v>10</v>
      </c>
      <c r="E75" s="4" t="s">
        <v>154</v>
      </c>
      <c r="F75" s="4" t="s">
        <v>90</v>
      </c>
      <c r="G75" s="5">
        <v>77</v>
      </c>
      <c r="H75" s="6">
        <f>MROUND(G76*1.03, 0.5)</f>
      </c>
    </row>
    <row x14ac:dyDescent="0.25" r="76" customHeight="1" ht="19.5">
      <c r="A76" s="4" t="s">
        <v>189</v>
      </c>
      <c r="B76" s="4" t="s">
        <v>190</v>
      </c>
      <c r="C76" s="5">
        <v>3705</v>
      </c>
      <c r="D76" s="5">
        <v>12</v>
      </c>
      <c r="E76" s="4" t="s">
        <v>191</v>
      </c>
      <c r="F76" s="4" t="s">
        <v>90</v>
      </c>
      <c r="G76" s="6">
        <v>123.5</v>
      </c>
      <c r="H76" s="5">
        <f>MROUND(G77*1.03, 0.5)</f>
      </c>
    </row>
    <row x14ac:dyDescent="0.25" r="77" customHeight="1" ht="19.5">
      <c r="A77" s="4" t="s">
        <v>192</v>
      </c>
      <c r="B77" s="4" t="s">
        <v>193</v>
      </c>
      <c r="C77" s="5">
        <v>3823</v>
      </c>
      <c r="D77" s="5">
        <v>10</v>
      </c>
      <c r="E77" s="4" t="s">
        <v>154</v>
      </c>
      <c r="F77" s="4" t="s">
        <v>16</v>
      </c>
      <c r="G77" s="5">
        <v>77</v>
      </c>
      <c r="H77" s="6">
        <f>MROUND(G78*1.03, 0.5)</f>
      </c>
    </row>
    <row x14ac:dyDescent="0.25" r="78" customHeight="1" ht="19.5">
      <c r="A78" s="4" t="s">
        <v>194</v>
      </c>
      <c r="B78" s="4" t="s">
        <v>195</v>
      </c>
      <c r="C78" s="5">
        <v>4308</v>
      </c>
      <c r="D78" s="5">
        <v>10</v>
      </c>
      <c r="E78" s="4" t="s">
        <v>196</v>
      </c>
      <c r="F78" s="4" t="s">
        <v>11</v>
      </c>
      <c r="G78" s="6">
        <v>68.5</v>
      </c>
      <c r="H78" s="6">
        <f>MROUND(G79*1.03, 0.5)</f>
      </c>
    </row>
    <row x14ac:dyDescent="0.25" r="79" customHeight="1" ht="18.75">
      <c r="A79" s="4" t="s">
        <v>197</v>
      </c>
      <c r="B79" s="4" t="s">
        <v>198</v>
      </c>
      <c r="C79" s="5">
        <v>4309</v>
      </c>
      <c r="D79" s="5">
        <v>10</v>
      </c>
      <c r="E79" s="4" t="s">
        <v>196</v>
      </c>
      <c r="F79" s="4" t="s">
        <v>138</v>
      </c>
      <c r="G79" s="6">
        <v>68.5</v>
      </c>
      <c r="H79" s="6">
        <f>MROUND(G80*1.03, 0.5)</f>
      </c>
    </row>
    <row x14ac:dyDescent="0.25" r="80" customHeight="1" ht="18.75">
      <c r="A80" s="4" t="s">
        <v>199</v>
      </c>
      <c r="B80" s="4" t="s">
        <v>200</v>
      </c>
      <c r="C80" s="5">
        <v>4635</v>
      </c>
      <c r="D80" s="5">
        <v>10</v>
      </c>
      <c r="E80" s="4" t="s">
        <v>201</v>
      </c>
      <c r="F80" s="4" t="s">
        <v>138</v>
      </c>
      <c r="G80" s="5">
        <v>177</v>
      </c>
      <c r="H80" s="6">
        <f>MROUND(G81*1.03, 0.5)</f>
      </c>
    </row>
    <row x14ac:dyDescent="0.25" r="81" customHeight="1" ht="18.75">
      <c r="A81" s="4" t="s">
        <v>202</v>
      </c>
      <c r="B81" s="4" t="s">
        <v>203</v>
      </c>
      <c r="C81" s="5">
        <v>4412</v>
      </c>
      <c r="D81" s="6">
        <v>2.5</v>
      </c>
      <c r="E81" s="4" t="s">
        <v>30</v>
      </c>
      <c r="F81" s="4" t="s">
        <v>138</v>
      </c>
      <c r="G81" s="6">
        <v>75.5</v>
      </c>
      <c r="H81" s="5">
        <f>MROUND(G82*1.03, 0.5)</f>
      </c>
    </row>
    <row x14ac:dyDescent="0.25" r="82" customHeight="1" ht="18.75">
      <c r="A82" s="4" t="s">
        <v>204</v>
      </c>
      <c r="B82" s="4" t="s">
        <v>205</v>
      </c>
      <c r="C82" s="5">
        <v>4413</v>
      </c>
      <c r="D82" s="5">
        <v>25</v>
      </c>
      <c r="E82" s="4" t="s">
        <v>30</v>
      </c>
      <c r="F82" s="4" t="s">
        <v>11</v>
      </c>
      <c r="G82" s="5">
        <v>496</v>
      </c>
      <c r="H82" s="5">
        <f>MROUND(G83*1.03, 0.5)</f>
      </c>
    </row>
    <row x14ac:dyDescent="0.25" r="83" customHeight="1" ht="18.75">
      <c r="A83" s="4" t="s">
        <v>204</v>
      </c>
      <c r="B83" s="4" t="s">
        <v>205</v>
      </c>
      <c r="C83" s="5">
        <v>4414</v>
      </c>
      <c r="D83" s="5">
        <v>5</v>
      </c>
      <c r="E83" s="4" t="s">
        <v>30</v>
      </c>
      <c r="F83" s="4" t="s">
        <v>11</v>
      </c>
      <c r="G83" s="5">
        <v>101</v>
      </c>
      <c r="H83" s="5">
        <f>MROUND(G84*1.03, 0.5)</f>
      </c>
    </row>
    <row x14ac:dyDescent="0.25" r="84" customHeight="1" ht="18.75">
      <c r="A84" s="4" t="s">
        <v>206</v>
      </c>
      <c r="B84" s="4" t="s">
        <v>207</v>
      </c>
      <c r="C84" s="5">
        <v>4415</v>
      </c>
      <c r="D84" s="5">
        <v>25</v>
      </c>
      <c r="E84" s="4" t="s">
        <v>30</v>
      </c>
      <c r="F84" s="4" t="s">
        <v>11</v>
      </c>
      <c r="G84" s="5">
        <v>424</v>
      </c>
      <c r="H84" s="6">
        <f>MROUND(G85*1.03, 0.5)</f>
      </c>
    </row>
    <row x14ac:dyDescent="0.25" r="85" customHeight="1" ht="18.75">
      <c r="A85" s="4" t="s">
        <v>206</v>
      </c>
      <c r="B85" s="4" t="s">
        <v>207</v>
      </c>
      <c r="C85" s="5">
        <v>4416</v>
      </c>
      <c r="D85" s="5">
        <v>5</v>
      </c>
      <c r="E85" s="4" t="s">
        <v>30</v>
      </c>
      <c r="F85" s="4" t="s">
        <v>11</v>
      </c>
      <c r="G85" s="5">
        <v>88</v>
      </c>
      <c r="H85" s="6">
        <f>MROUND(G86*1.03, 0.5)</f>
      </c>
    </row>
    <row x14ac:dyDescent="0.25" r="86" customHeight="1" ht="18.75">
      <c r="A86" s="4" t="s">
        <v>208</v>
      </c>
      <c r="B86" s="4" t="s">
        <v>209</v>
      </c>
      <c r="C86" s="5">
        <v>4475</v>
      </c>
      <c r="D86" s="5">
        <v>1</v>
      </c>
      <c r="E86" s="4" t="s">
        <v>210</v>
      </c>
      <c r="F86" s="4" t="s">
        <v>11</v>
      </c>
      <c r="G86" s="5">
        <v>9</v>
      </c>
      <c r="H86" s="6">
        <f>MROUND(G87*1.03, 0.5)</f>
      </c>
    </row>
    <row x14ac:dyDescent="0.25" r="87" customHeight="1" ht="18.75">
      <c r="A87" s="4" t="s">
        <v>211</v>
      </c>
      <c r="B87" s="4" t="s">
        <v>212</v>
      </c>
      <c r="C87" s="5">
        <v>4354</v>
      </c>
      <c r="D87" s="5">
        <v>12</v>
      </c>
      <c r="E87" s="4" t="s">
        <v>210</v>
      </c>
      <c r="F87" s="4" t="s">
        <v>10</v>
      </c>
      <c r="G87" s="6">
        <v>79.5</v>
      </c>
      <c r="H87" s="5">
        <f>MROUND(G88*1.03, 0.5)</f>
      </c>
    </row>
    <row x14ac:dyDescent="0.25" r="88" customHeight="1" ht="18.75">
      <c r="A88" s="4" t="s">
        <v>213</v>
      </c>
      <c r="B88" s="4" t="s">
        <v>214</v>
      </c>
      <c r="C88" s="5">
        <v>4445</v>
      </c>
      <c r="D88" s="5">
        <v>12</v>
      </c>
      <c r="E88" s="4" t="s">
        <v>210</v>
      </c>
      <c r="F88" s="4" t="s">
        <v>16</v>
      </c>
      <c r="G88" s="6">
        <v>79.5</v>
      </c>
      <c r="H88" s="5">
        <f>MROUND(G89*1.03, 0.5)</f>
      </c>
    </row>
    <row x14ac:dyDescent="0.25" r="89" customHeight="1" ht="18.75">
      <c r="A89" s="4" t="s">
        <v>215</v>
      </c>
      <c r="B89" s="4" t="s">
        <v>216</v>
      </c>
      <c r="C89" s="5">
        <v>4353</v>
      </c>
      <c r="D89" s="5">
        <v>12</v>
      </c>
      <c r="E89" s="4" t="s">
        <v>210</v>
      </c>
      <c r="F89" s="4" t="s">
        <v>16</v>
      </c>
      <c r="G89" s="6">
        <v>79.5</v>
      </c>
      <c r="H89" s="5">
        <f>MROUND(G90*1.03, 0.5)</f>
      </c>
    </row>
    <row x14ac:dyDescent="0.25" r="90" customHeight="1" ht="18.75">
      <c r="A90" s="4" t="s">
        <v>217</v>
      </c>
      <c r="B90" s="4" t="s">
        <v>218</v>
      </c>
      <c r="C90" s="5">
        <v>4350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MROUND(G91*1.03, 0.5)</f>
      </c>
    </row>
    <row x14ac:dyDescent="0.25" r="91" customHeight="1" ht="18.75">
      <c r="A91" s="4" t="s">
        <v>219</v>
      </c>
      <c r="B91" s="4" t="s">
        <v>220</v>
      </c>
      <c r="C91" s="5">
        <v>4352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MROUND(G92*1.03, 0.5)</f>
      </c>
    </row>
    <row x14ac:dyDescent="0.25" r="92" customHeight="1" ht="18.75">
      <c r="A92" s="4" t="s">
        <v>221</v>
      </c>
      <c r="B92" s="4" t="s">
        <v>222</v>
      </c>
      <c r="C92" s="5">
        <v>4349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MROUND(G93*1.03, 0.5)</f>
      </c>
    </row>
    <row x14ac:dyDescent="0.25" r="93" customHeight="1" ht="18.75">
      <c r="A93" s="4" t="s">
        <v>223</v>
      </c>
      <c r="B93" s="4" t="s">
        <v>224</v>
      </c>
      <c r="C93" s="5">
        <v>4351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MROUND(G94*1.03, 0.5)</f>
      </c>
    </row>
    <row x14ac:dyDescent="0.25" r="94" customHeight="1" ht="18.75">
      <c r="A94" s="4" t="s">
        <v>225</v>
      </c>
      <c r="B94" s="4" t="s">
        <v>226</v>
      </c>
      <c r="C94" s="5">
        <v>4581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MROUND(G95*1.03, 0.5)</f>
      </c>
    </row>
    <row x14ac:dyDescent="0.25" r="95" customHeight="1" ht="18.75">
      <c r="A95" s="4" t="s">
        <v>227</v>
      </c>
      <c r="B95" s="4" t="s">
        <v>228</v>
      </c>
      <c r="C95" s="5">
        <v>4096</v>
      </c>
      <c r="D95" s="5">
        <v>5</v>
      </c>
      <c r="E95" s="4" t="s">
        <v>30</v>
      </c>
      <c r="F95" s="4" t="s">
        <v>11</v>
      </c>
      <c r="G95" s="5">
        <v>79</v>
      </c>
      <c r="H95" s="6">
        <f>MROUND(G96*1.03, 0.5)</f>
      </c>
    </row>
    <row x14ac:dyDescent="0.25" r="96" customHeight="1" ht="18.75">
      <c r="A96" s="4" t="s">
        <v>229</v>
      </c>
      <c r="B96" s="4" t="s">
        <v>230</v>
      </c>
      <c r="C96" s="5">
        <v>4582</v>
      </c>
      <c r="D96" s="5">
        <v>30</v>
      </c>
      <c r="E96" s="4" t="s">
        <v>231</v>
      </c>
      <c r="F96" s="4" t="s">
        <v>11</v>
      </c>
      <c r="G96" s="5">
        <v>45</v>
      </c>
      <c r="H96" s="6">
        <f>MROUND(G97*1.03, 0.5)</f>
      </c>
    </row>
    <row x14ac:dyDescent="0.25" r="97" customHeight="1" ht="18.75">
      <c r="A97" s="4" t="s">
        <v>232</v>
      </c>
      <c r="B97" s="4" t="s">
        <v>233</v>
      </c>
      <c r="C97" s="5">
        <v>4123</v>
      </c>
      <c r="D97" s="5">
        <v>10</v>
      </c>
      <c r="E97" s="4" t="s">
        <v>191</v>
      </c>
      <c r="F97" s="4" t="s">
        <v>11</v>
      </c>
      <c r="G97" s="5">
        <v>60</v>
      </c>
      <c r="H97" s="5">
        <f>MROUND(G98*1.03, 0.5)</f>
      </c>
    </row>
    <row x14ac:dyDescent="0.25" r="98" customHeight="1" ht="18.75">
      <c r="A98" s="4" t="s">
        <v>234</v>
      </c>
      <c r="B98" s="4" t="s">
        <v>235</v>
      </c>
      <c r="C98" s="5">
        <v>4306</v>
      </c>
      <c r="D98" s="5">
        <v>10</v>
      </c>
      <c r="E98" s="4" t="s">
        <v>154</v>
      </c>
      <c r="F98" s="4" t="s">
        <v>138</v>
      </c>
      <c r="G98" s="5">
        <v>81</v>
      </c>
      <c r="H98" s="6">
        <f>MROUND(G99*1.03, 0.5)</f>
      </c>
    </row>
    <row x14ac:dyDescent="0.25" r="99" customHeight="1" ht="18.75">
      <c r="A99" s="4" t="s">
        <v>236</v>
      </c>
      <c r="B99" s="4" t="s">
        <v>237</v>
      </c>
      <c r="C99" s="5">
        <v>4307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MROUND(G100*1.03, 0.5)</f>
      </c>
    </row>
    <row x14ac:dyDescent="0.25" r="100" customHeight="1" ht="18.75">
      <c r="A100" s="4" t="s">
        <v>238</v>
      </c>
      <c r="B100" s="4" t="s">
        <v>239</v>
      </c>
      <c r="C100" s="5">
        <v>2659</v>
      </c>
      <c r="D100" s="5">
        <v>20</v>
      </c>
      <c r="E100" s="4" t="s">
        <v>240</v>
      </c>
      <c r="F100" s="4" t="s">
        <v>90</v>
      </c>
      <c r="G100" s="5">
        <v>30</v>
      </c>
      <c r="H100" s="5">
        <f>MROUND(G101*1.03, 0.5)</f>
      </c>
    </row>
    <row x14ac:dyDescent="0.25" r="101" customHeight="1" ht="18.75">
      <c r="A101" s="4" t="s">
        <v>238</v>
      </c>
      <c r="B101" s="4" t="s">
        <v>239</v>
      </c>
      <c r="C101" s="5">
        <v>2621</v>
      </c>
      <c r="D101" s="5">
        <v>5</v>
      </c>
      <c r="E101" s="4" t="s">
        <v>241</v>
      </c>
      <c r="F101" s="4" t="s">
        <v>90</v>
      </c>
      <c r="G101" s="6">
        <v>25.5</v>
      </c>
      <c r="H101" s="6">
        <f>MROUND(G102*1.03, 0.5)</f>
      </c>
    </row>
    <row x14ac:dyDescent="0.25" r="102" customHeight="1" ht="18.75">
      <c r="A102" s="4" t="s">
        <v>242</v>
      </c>
      <c r="B102" s="4" t="s">
        <v>243</v>
      </c>
      <c r="C102" s="5">
        <v>3656</v>
      </c>
      <c r="D102" s="5">
        <v>5</v>
      </c>
      <c r="E102" s="4" t="s">
        <v>154</v>
      </c>
      <c r="F102" s="4" t="s">
        <v>90</v>
      </c>
      <c r="G102" s="5">
        <v>27</v>
      </c>
      <c r="H102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2026-09-28T12:02:08.727Z</dcterms:created>
  <dcterms:modified xsi:type="dcterms:W3CDTF">2026-09-28T12:02:08.727Z</dcterms:modified>
</cp:coreProperties>
</file>